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4DC87153-0C90-4F16-A4BF-A432F923C44A}" xr6:coauthVersionLast="47" xr6:coauthVersionMax="47" xr10:uidLastSave="{00000000-0000-0000-0000-000000000000}"/>
  <bookViews>
    <workbookView xWindow="-110" yWindow="-110" windowWidth="25820" windowHeight="14620" activeTab="3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5" l="1"/>
  <c r="Q5" i="5"/>
  <c r="P6" i="5"/>
  <c r="P5" i="5"/>
  <c r="Q3" i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R2" i="1"/>
  <c r="Q2" i="1"/>
  <c r="J24" i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<sst xmlns="http://schemas.openxmlformats.org/spreadsheetml/2006/main" count="375" uniqueCount="152">
  <si>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</si>
  <si>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</si>
  <si>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</si>
  <si>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</si>
  <si>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</si>
  <si>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</si>
  <si>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</si>
  <si>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</si>
  <si>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</si>
  <si>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</si>
  <si>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</si>
  <si>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</si>
  <si>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</si>
  <si>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</si>
  <si>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</si>
  <si>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</si>
  <si>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</si>
  <si>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</si>
  <si>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</si>
  <si>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</si>
  <si>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</si>
  <si>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</si>
  <si>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</si>
  <si>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</si>
  <si>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</si>
  <si>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</si>
  <si>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</si>
  <si>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</si>
  <si>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</si>
  <si>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</si>
  <si>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</si>
  <si>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</si>
  <si>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</si>
  <si>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</si>
  <si>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</si>
  <si>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</si>
  <si>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</si>
  <si>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</si>
  <si>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</si>
  <si>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</si>
  <si>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</si>
  <si>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</si>
  <si>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</si>
  <si>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</si>
  <si>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</si>
  <si>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</si>
  <si>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</si>
  <si>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</si>
  <si>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</si>
  <si>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</si>
  <si>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</si>
  <si>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</si>
  <si>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</si>
  <si>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</si>
  <si>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</si>
  <si>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</si>
  <si>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</si>
  <si>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</si>
  <si>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</si>
  <si>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</si>
  <si>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</si>
  <si>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</si>
  <si>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</si>
  <si>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</si>
  <si>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</si>
  <si>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</si>
  <si>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</si>
  <si>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</si>
  <si>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</si>
  <si>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</si>
  <si>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</si>
  <si>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</si>
  <si>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</si>
  <si>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</si>
  <si>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</si>
  <si>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</si>
  <si>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</si>
  <si>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</si>
  <si>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</si>
  <si>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</si>
  <si>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</si>
  <si>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</si>
  <si>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</si>
  <si>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</si>
  <si>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</si>
  <si>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</si>
  <si>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</si>
  <si>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</si>
  <si>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</si>
  <si>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</si>
  <si>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</si>
  <si>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</si>
  <si>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</si>
  <si>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</si>
  <si>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</si>
  <si>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</si>
  <si>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</si>
  <si>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</si>
  <si>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</si>
  <si>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</si>
  <si>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</si>
  <si>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</si>
  <si>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</si>
  <si>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</si>
  <si>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</si>
  <si>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</si>
  <si>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</si>
  <si>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</si>
  <si>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</si>
  <si>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</si>
  <si>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</si>
  <si>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</si>
  <si>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</si>
  <si>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</si>
  <si>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</si>
  <si>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</si>
  <si>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</si>
  <si>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</si>
  <si>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</si>
  <si>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</si>
  <si>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</si>
  <si>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</si>
  <si>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</si>
  <si>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</si>
  <si>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</si>
  <si>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</si>
  <si>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</si>
  <si>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</si>
  <si>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</si>
  <si>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</si>
  <si>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</si>
  <si>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</si>
  <si>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</si>
  <si>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</si>
  <si>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</si>
  <si>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</si>
  <si>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</si>
  <si>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</si>
  <si>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</si>
  <si>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</si>
  <si>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</si>
  <si>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</si>
  <si>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</si>
  <si>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</si>
  <si>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</si>
  <si>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</si>
  <si>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</si>
  <si>
    <t>Excluded: Post no eye-close</t>
  </si>
  <si>
    <t>~300</t>
  </si>
  <si>
    <t>~400</t>
  </si>
  <si>
    <t>Thal 20-18</t>
  </si>
  <si>
    <t>Thal 35-18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</si>
</sst>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2" xfId="0" applyFont="1" applyBorder="1" applyAlignment="1">
      <alignment horizontal="right"/>
    </xf>
    <xf numFmtId="0" fontId="4" fillId="0" borderId="1" xfId="0" applyFont="1" applyBorder="1"/>
    <xf numFmtId="0" fontId="4" fillId="0" borderId="0" xfId="0" applyFont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4" fillId="0" borderId="5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5" xfId="0" applyFont="1" applyBorder="1" applyAlignment="1">
      <alignment horizontal="left"/>
    </xf>
    <xf numFmtId="49" fontId="0" fillId="6" borderId="13" xfId="0" applyNumberFormat="1" applyFill="1" applyBorder="1"/>
    <xf numFmtId="49" fontId="0" fillId="6" borderId="14" xfId="0" applyNumberFormat="1" applyFill="1" applyBorder="1"/>
    <xf numFmtId="49" fontId="0" fillId="6" borderId="15" xfId="0" applyNumberFormat="1" applyFill="1" applyBorder="1"/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G9" sqref="G9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05" customWidth="1"/>
    <col min="7" max="11" width="7" customWidth="1"/>
  </cols>
  <sheetData>
    <row r="3" spans="2:12" ht="15" thickBot="1" x14ac:dyDescent="0.4"/>
    <row r="4" spans="2:12" ht="15" thickBot="1" x14ac:dyDescent="0.4">
      <c r="C4" s="129" t="s">
        <v>81</v>
      </c>
      <c r="D4" s="126" t="s">
        <v>87</v>
      </c>
      <c r="E4" s="127"/>
      <c r="F4" s="127"/>
      <c r="G4" s="128"/>
      <c r="H4" s="131" t="s">
        <v>88</v>
      </c>
      <c r="I4" s="127"/>
      <c r="J4" s="127"/>
      <c r="K4" s="128"/>
    </row>
    <row r="5" spans="2:12" ht="15" thickBot="1" x14ac:dyDescent="0.4">
      <c r="C5" s="130"/>
      <c r="D5" s="106" t="s">
        <v>127</v>
      </c>
      <c r="E5" s="107" t="s">
        <v>128</v>
      </c>
      <c r="F5" s="108" t="s">
        <v>129</v>
      </c>
      <c r="G5" s="109" t="s">
        <v>102</v>
      </c>
      <c r="H5" s="3" t="s">
        <v>103</v>
      </c>
      <c r="I5" s="73" t="s">
        <v>104</v>
      </c>
      <c r="J5" s="2" t="s">
        <v>105</v>
      </c>
      <c r="K5" s="78" t="s">
        <v>102</v>
      </c>
    </row>
    <row r="6" spans="2:12" x14ac:dyDescent="0.35">
      <c r="C6" s="57" t="s">
        <v>82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35">
      <c r="C7" s="54" t="s">
        <v>83</v>
      </c>
      <c r="D7" s="104" t="s">
        <v>131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" thickBot="1" x14ac:dyDescent="0.4">
      <c r="C8" s="55" t="s">
        <v>84</v>
      </c>
      <c r="D8" s="99">
        <v>0</v>
      </c>
      <c r="E8" s="100">
        <v>5</v>
      </c>
      <c r="F8" s="101" t="s">
        <v>130</v>
      </c>
      <c r="G8" s="102">
        <v>8</v>
      </c>
      <c r="H8" s="56"/>
      <c r="I8" s="71"/>
      <c r="J8" s="77"/>
      <c r="K8" s="55"/>
    </row>
    <row r="9" spans="2:12" ht="15" thickBot="1" x14ac:dyDescent="0.4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35">
      <c r="B10" s="125" t="s">
        <v>86</v>
      </c>
      <c r="C10" s="57" t="s">
        <v>85</v>
      </c>
      <c r="D10" s="92"/>
      <c r="E10" s="93"/>
      <c r="F10" s="94"/>
      <c r="G10" s="57" t="s">
        <v>148</v>
      </c>
      <c r="H10" s="58"/>
      <c r="I10" s="74"/>
      <c r="J10" s="75"/>
      <c r="K10" s="57"/>
    </row>
    <row r="11" spans="2:12" ht="15" thickBot="1" x14ac:dyDescent="0.4">
      <c r="B11" s="125"/>
      <c r="C11" s="55" t="s">
        <v>82</v>
      </c>
      <c r="D11" s="99"/>
      <c r="E11" s="100"/>
      <c r="F11" s="101"/>
      <c r="G11" s="55" t="s">
        <v>149</v>
      </c>
      <c r="H11" s="56"/>
      <c r="I11" s="71"/>
      <c r="J11" s="77"/>
      <c r="K11" s="55"/>
    </row>
    <row r="14" spans="2:12" x14ac:dyDescent="0.35">
      <c r="D14" s="125" t="s">
        <v>120</v>
      </c>
      <c r="E14" s="125"/>
      <c r="F14" s="125"/>
      <c r="G14" s="125" t="s">
        <v>121</v>
      </c>
      <c r="H14" s="125"/>
      <c r="I14" s="125"/>
      <c r="J14" s="125" t="s">
        <v>5</v>
      </c>
      <c r="K14" s="125" t="s">
        <v>11</v>
      </c>
      <c r="L14" s="125" t="s">
        <v>4</v>
      </c>
    </row>
    <row r="15" spans="2:12" x14ac:dyDescent="0.35">
      <c r="D15" s="44" t="s">
        <v>122</v>
      </c>
      <c r="E15" s="44" t="s">
        <v>123</v>
      </c>
      <c r="F15" s="44" t="s">
        <v>124</v>
      </c>
      <c r="G15" s="44" t="s">
        <v>122</v>
      </c>
      <c r="H15" s="44" t="s">
        <v>123</v>
      </c>
      <c r="I15" s="44" t="s">
        <v>124</v>
      </c>
      <c r="J15" s="125"/>
      <c r="K15" s="125"/>
      <c r="L15" s="125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R33"/>
  <sheetViews>
    <sheetView zoomScale="85" zoomScaleNormal="85" workbookViewId="0">
      <selection activeCell="G19" sqref="G19"/>
    </sheetView>
  </sheetViews>
  <sheetFormatPr defaultColWidth="5.453125" defaultRowHeight="14.5" x14ac:dyDescent="0.35"/>
  <cols>
    <col min="1" max="1" width="20.453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1796875" style="14" bestFit="1" customWidth="1"/>
    <col min="11" max="11" width="5.453125" style="1"/>
    <col min="12" max="12" width="4.1796875" style="1" customWidth="1"/>
    <col min="13" max="13" width="5.26953125" customWidth="1"/>
    <col min="14" max="14" width="55.26953125" customWidth="1"/>
    <col min="15" max="15" width="31" customWidth="1"/>
    <col min="17" max="17" width="8.453125" customWidth="1"/>
    <col min="18" max="18" width="12.54296875" customWidth="1"/>
  </cols>
  <sheetData>
    <row r="1" spans="1:18" x14ac:dyDescent="0.35">
      <c r="A1" s="51" t="s">
        <v>112</v>
      </c>
      <c r="B1" s="51" t="s">
        <v>113</v>
      </c>
      <c r="C1" s="51" t="s">
        <v>78</v>
      </c>
      <c r="D1" s="52" t="s">
        <v>77</v>
      </c>
      <c r="E1" s="132" t="s">
        <v>4</v>
      </c>
      <c r="F1" s="132"/>
      <c r="G1" s="133"/>
      <c r="H1" s="134" t="s">
        <v>5</v>
      </c>
      <c r="I1" s="132"/>
      <c r="J1" s="133"/>
      <c r="K1" s="134" t="s">
        <v>11</v>
      </c>
      <c r="L1" s="132"/>
      <c r="M1" s="133"/>
    </row>
    <row r="2" spans="1:18" x14ac:dyDescent="0.35">
      <c r="A2" s="44" t="s">
        <v>26</v>
      </c>
      <c r="B2" s="44" t="s">
        <v>26</v>
      </c>
      <c r="C2" s="42"/>
      <c r="D2" s="3" t="s">
        <v>49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117</v>
      </c>
      <c r="Q2">
        <f>J2*M2*2</f>
        <v>0</v>
      </c>
      <c r="R2">
        <f>(J2*M2+G2*J2+G2*M2)*2</f>
        <v>3626</v>
      </c>
    </row>
    <row r="3" spans="1:18" x14ac:dyDescent="0.35">
      <c r="A3" s="44" t="s">
        <v>27</v>
      </c>
      <c r="B3" s="44" t="s">
        <v>27</v>
      </c>
      <c r="C3" s="42"/>
      <c r="D3" s="11" t="s">
        <v>50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117</v>
      </c>
      <c r="Q3">
        <f t="shared" ref="Q3:Q21" si="0">J3*M3*2</f>
        <v>462</v>
      </c>
      <c r="R3">
        <f t="shared" ref="R3:R21" si="1">(J3*M3+G3*J3+G3*M3)*2</f>
        <v>3022</v>
      </c>
    </row>
    <row r="4" spans="1:18" x14ac:dyDescent="0.35">
      <c r="A4" s="44" t="s">
        <v>28</v>
      </c>
      <c r="B4" s="44" t="s">
        <v>28</v>
      </c>
      <c r="C4" s="42"/>
      <c r="D4" s="3" t="s">
        <v>51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117</v>
      </c>
      <c r="Q4">
        <f t="shared" si="0"/>
        <v>540</v>
      </c>
      <c r="R4">
        <f t="shared" si="1"/>
        <v>948</v>
      </c>
    </row>
    <row r="5" spans="1:18" x14ac:dyDescent="0.35">
      <c r="A5" s="44" t="s">
        <v>29</v>
      </c>
      <c r="B5" s="44" t="s">
        <v>29</v>
      </c>
      <c r="C5" s="42"/>
      <c r="D5" s="11" t="s">
        <v>52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117</v>
      </c>
      <c r="Q5">
        <f t="shared" si="0"/>
        <v>608</v>
      </c>
      <c r="R5">
        <f t="shared" si="1"/>
        <v>4318</v>
      </c>
    </row>
    <row r="6" spans="1:18" ht="15" thickBot="1" x14ac:dyDescent="0.4">
      <c r="A6" s="79" t="s">
        <v>30</v>
      </c>
      <c r="B6" s="79" t="s">
        <v>30</v>
      </c>
      <c r="C6" s="31"/>
      <c r="D6" s="43" t="s">
        <v>53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117</v>
      </c>
      <c r="Q6">
        <f t="shared" si="0"/>
        <v>12</v>
      </c>
      <c r="R6">
        <f t="shared" si="1"/>
        <v>306</v>
      </c>
    </row>
    <row r="7" spans="1:18" x14ac:dyDescent="0.35">
      <c r="A7" s="44" t="s">
        <v>60</v>
      </c>
      <c r="B7" s="44" t="s">
        <v>18</v>
      </c>
      <c r="C7" s="44" t="s">
        <v>60</v>
      </c>
      <c r="D7" s="11" t="s">
        <v>79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  <c r="Q7">
        <f t="shared" si="0"/>
        <v>570</v>
      </c>
      <c r="R7">
        <f t="shared" si="1"/>
        <v>4310</v>
      </c>
    </row>
    <row r="8" spans="1:18" x14ac:dyDescent="0.35">
      <c r="A8" s="80" t="s">
        <v>114</v>
      </c>
      <c r="B8" s="80" t="s">
        <v>19</v>
      </c>
      <c r="C8" s="80" t="s">
        <v>61</v>
      </c>
      <c r="D8" s="81" t="s">
        <v>89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119</v>
      </c>
      <c r="O8" t="s">
        <v>125</v>
      </c>
      <c r="Q8">
        <f t="shared" si="0"/>
        <v>160</v>
      </c>
      <c r="R8">
        <f t="shared" si="1"/>
        <v>1966</v>
      </c>
    </row>
    <row r="9" spans="1:18" x14ac:dyDescent="0.35">
      <c r="A9" s="80" t="s">
        <v>62</v>
      </c>
      <c r="B9" s="80" t="s">
        <v>20</v>
      </c>
      <c r="C9" s="80" t="s">
        <v>62</v>
      </c>
      <c r="D9" s="81" t="s">
        <v>90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115</v>
      </c>
      <c r="O9" t="s">
        <v>125</v>
      </c>
      <c r="Q9">
        <f t="shared" si="0"/>
        <v>0</v>
      </c>
      <c r="R9">
        <f t="shared" si="1"/>
        <v>3968</v>
      </c>
    </row>
    <row r="10" spans="1:18" x14ac:dyDescent="0.35">
      <c r="A10" s="44" t="s">
        <v>63</v>
      </c>
      <c r="B10" s="44" t="s">
        <v>21</v>
      </c>
      <c r="C10" s="44" t="s">
        <v>63</v>
      </c>
      <c r="D10" s="3" t="s">
        <v>91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  <c r="Q10">
        <f t="shared" si="0"/>
        <v>0</v>
      </c>
      <c r="R10">
        <f t="shared" si="1"/>
        <v>260</v>
      </c>
    </row>
    <row r="11" spans="1:18" x14ac:dyDescent="0.35">
      <c r="A11" s="44" t="s">
        <v>64</v>
      </c>
      <c r="B11" s="44" t="s">
        <v>22</v>
      </c>
      <c r="C11" s="44" t="s">
        <v>64</v>
      </c>
      <c r="D11" s="3" t="s">
        <v>92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  <c r="Q11">
        <f t="shared" si="0"/>
        <v>0</v>
      </c>
      <c r="R11">
        <f t="shared" si="1"/>
        <v>1620</v>
      </c>
    </row>
    <row r="12" spans="1:18" x14ac:dyDescent="0.35">
      <c r="A12" s="44" t="s">
        <v>65</v>
      </c>
      <c r="B12" s="44" t="s">
        <v>23</v>
      </c>
      <c r="C12" s="44" t="s">
        <v>65</v>
      </c>
      <c r="D12" s="3" t="s">
        <v>93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  <c r="Q12">
        <f t="shared" si="0"/>
        <v>1400</v>
      </c>
      <c r="R12">
        <f t="shared" si="1"/>
        <v>7336</v>
      </c>
    </row>
    <row r="13" spans="1:18" x14ac:dyDescent="0.35">
      <c r="A13" s="44" t="s">
        <v>66</v>
      </c>
      <c r="B13" s="44" t="s">
        <v>24</v>
      </c>
      <c r="C13" s="44" t="s">
        <v>66</v>
      </c>
      <c r="D13" s="3" t="s">
        <v>94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116</v>
      </c>
      <c r="Q13">
        <f t="shared" si="0"/>
        <v>2756</v>
      </c>
      <c r="R13">
        <f t="shared" si="1"/>
        <v>8444</v>
      </c>
    </row>
    <row r="14" spans="1:18" x14ac:dyDescent="0.35">
      <c r="A14" s="44" t="s">
        <v>67</v>
      </c>
      <c r="B14" s="44" t="s">
        <v>25</v>
      </c>
      <c r="C14" s="44" t="s">
        <v>67</v>
      </c>
      <c r="D14" s="3" t="s">
        <v>95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132</v>
      </c>
      <c r="O14" t="s">
        <v>116</v>
      </c>
      <c r="Q14">
        <f t="shared" si="0"/>
        <v>4644</v>
      </c>
      <c r="R14">
        <f t="shared" si="1"/>
        <v>10270</v>
      </c>
    </row>
    <row r="15" spans="1:18" x14ac:dyDescent="0.35">
      <c r="A15" s="44" t="s">
        <v>68</v>
      </c>
      <c r="B15" s="44" t="s">
        <v>31</v>
      </c>
      <c r="C15" s="44" t="s">
        <v>68</v>
      </c>
      <c r="D15" s="3" t="s">
        <v>96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116</v>
      </c>
      <c r="Q15">
        <f t="shared" si="0"/>
        <v>2156</v>
      </c>
      <c r="R15">
        <f t="shared" si="1"/>
        <v>7410</v>
      </c>
    </row>
    <row r="16" spans="1:18" x14ac:dyDescent="0.35">
      <c r="A16" s="44" t="s">
        <v>69</v>
      </c>
      <c r="B16" s="44" t="s">
        <v>34</v>
      </c>
      <c r="C16" s="44" t="s">
        <v>69</v>
      </c>
      <c r="D16" s="3" t="s">
        <v>97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116</v>
      </c>
      <c r="Q16">
        <f t="shared" si="0"/>
        <v>2400</v>
      </c>
      <c r="R16">
        <f t="shared" si="1"/>
        <v>7440</v>
      </c>
    </row>
    <row r="17" spans="1:18" x14ac:dyDescent="0.35">
      <c r="A17" s="39" t="s">
        <v>70</v>
      </c>
      <c r="B17" s="39" t="s">
        <v>35</v>
      </c>
      <c r="C17" s="44" t="s">
        <v>70</v>
      </c>
      <c r="D17" s="45" t="s">
        <v>80</v>
      </c>
      <c r="E17" s="40" t="s">
        <v>0</v>
      </c>
      <c r="F17" s="40" t="s">
        <v>32</v>
      </c>
      <c r="G17" s="41">
        <v>18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N17" s="1" t="s">
        <v>150</v>
      </c>
      <c r="O17" t="s">
        <v>116</v>
      </c>
      <c r="Q17">
        <f t="shared" si="0"/>
        <v>2184</v>
      </c>
      <c r="R17">
        <f t="shared" si="1"/>
        <v>4596</v>
      </c>
    </row>
    <row r="18" spans="1:18" x14ac:dyDescent="0.35">
      <c r="A18" s="44" t="s">
        <v>71</v>
      </c>
      <c r="B18" s="44" t="s">
        <v>36</v>
      </c>
      <c r="C18" s="44" t="s">
        <v>71</v>
      </c>
      <c r="D18" s="3" t="s">
        <v>98</v>
      </c>
      <c r="E18" s="1" t="s">
        <v>0</v>
      </c>
      <c r="F18" s="1" t="s">
        <v>1</v>
      </c>
      <c r="G18" s="14">
        <v>18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N18" s="1" t="s">
        <v>151</v>
      </c>
      <c r="O18" t="s">
        <v>116</v>
      </c>
      <c r="Q18">
        <f t="shared" si="0"/>
        <v>2496</v>
      </c>
      <c r="R18">
        <f t="shared" si="1"/>
        <v>5052</v>
      </c>
    </row>
    <row r="19" spans="1:18" x14ac:dyDescent="0.35">
      <c r="A19" s="44" t="s">
        <v>72</v>
      </c>
      <c r="B19" s="44" t="s">
        <v>37</v>
      </c>
      <c r="C19" s="44" t="s">
        <v>72</v>
      </c>
      <c r="D19" s="3" t="s">
        <v>99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116</v>
      </c>
      <c r="Q19">
        <f t="shared" si="0"/>
        <v>920</v>
      </c>
      <c r="R19">
        <f t="shared" si="1"/>
        <v>2554</v>
      </c>
    </row>
    <row r="20" spans="1:18" x14ac:dyDescent="0.35">
      <c r="A20" s="44" t="s">
        <v>73</v>
      </c>
      <c r="B20" s="44" t="s">
        <v>38</v>
      </c>
      <c r="C20" s="44" t="s">
        <v>73</v>
      </c>
      <c r="D20" s="3" t="s">
        <v>100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116</v>
      </c>
      <c r="Q20">
        <f t="shared" si="0"/>
        <v>520</v>
      </c>
      <c r="R20">
        <f t="shared" si="1"/>
        <v>2752</v>
      </c>
    </row>
    <row r="21" spans="1:18" x14ac:dyDescent="0.35">
      <c r="A21" s="44" t="s">
        <v>74</v>
      </c>
      <c r="B21" s="44" t="s">
        <v>39</v>
      </c>
      <c r="C21" s="44" t="s">
        <v>74</v>
      </c>
      <c r="D21" s="3" t="s">
        <v>101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116</v>
      </c>
      <c r="Q21">
        <f t="shared" si="0"/>
        <v>1440</v>
      </c>
      <c r="R21">
        <f t="shared" si="1"/>
        <v>6816</v>
      </c>
    </row>
    <row r="22" spans="1:18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8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8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8" x14ac:dyDescent="0.35">
      <c r="D25" s="3"/>
      <c r="H25" s="2" t="s">
        <v>8</v>
      </c>
      <c r="I25" t="s">
        <v>17</v>
      </c>
      <c r="J25" s="3"/>
      <c r="K25" s="6"/>
      <c r="M25" s="3"/>
    </row>
    <row r="26" spans="1:18" x14ac:dyDescent="0.35">
      <c r="D26" s="3"/>
      <c r="H26" s="2" t="s">
        <v>15</v>
      </c>
      <c r="I26" t="s">
        <v>10</v>
      </c>
      <c r="J26" s="3"/>
      <c r="K26" s="6"/>
      <c r="M26" s="3"/>
    </row>
    <row r="27" spans="1:18" x14ac:dyDescent="0.35">
      <c r="D27" s="3"/>
      <c r="H27" s="2" t="s">
        <v>8</v>
      </c>
      <c r="I27" t="s">
        <v>10</v>
      </c>
      <c r="J27" s="3"/>
      <c r="K27" s="6"/>
      <c r="M27" s="3"/>
    </row>
    <row r="28" spans="1:18" x14ac:dyDescent="0.35">
      <c r="D28" s="3"/>
      <c r="H28" s="2"/>
      <c r="J28" s="3"/>
      <c r="K28" s="6"/>
      <c r="M28" s="3"/>
    </row>
    <row r="29" spans="1:18" x14ac:dyDescent="0.35">
      <c r="D29" s="3"/>
      <c r="H29" s="2"/>
      <c r="J29" s="3"/>
      <c r="K29" s="6"/>
      <c r="M29" s="3"/>
    </row>
    <row r="30" spans="1:18" x14ac:dyDescent="0.35">
      <c r="D30" s="3"/>
      <c r="H30" s="2"/>
      <c r="J30" s="3"/>
      <c r="K30" s="6"/>
      <c r="M30" s="3"/>
    </row>
    <row r="31" spans="1:18" x14ac:dyDescent="0.35">
      <c r="D31" s="3"/>
      <c r="H31" s="2"/>
      <c r="J31" s="3"/>
    </row>
    <row r="32" spans="1:18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22" sqref="G22"/>
    </sheetView>
  </sheetViews>
  <sheetFormatPr defaultColWidth="29.81640625" defaultRowHeight="14.5" x14ac:dyDescent="0.35"/>
  <cols>
    <col min="1" max="1" width="19.816406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112</v>
      </c>
      <c r="B1" s="60" t="s">
        <v>113</v>
      </c>
      <c r="C1" s="60" t="s">
        <v>78</v>
      </c>
      <c r="D1" s="69" t="s">
        <v>77</v>
      </c>
      <c r="E1" s="61"/>
      <c r="F1" s="61"/>
      <c r="G1" s="62"/>
    </row>
    <row r="2" spans="1:9" x14ac:dyDescent="0.35">
      <c r="A2" s="63"/>
      <c r="B2" s="50" t="s">
        <v>40</v>
      </c>
      <c r="C2" s="50" t="s">
        <v>40</v>
      </c>
      <c r="D2" s="64" t="s">
        <v>49</v>
      </c>
      <c r="G2" s="64"/>
      <c r="H2" s="50" t="s">
        <v>118</v>
      </c>
    </row>
    <row r="3" spans="1:9" x14ac:dyDescent="0.35">
      <c r="A3" s="63"/>
      <c r="B3" s="50" t="s">
        <v>41</v>
      </c>
      <c r="C3" s="50" t="s">
        <v>41</v>
      </c>
      <c r="D3" s="64" t="s">
        <v>50</v>
      </c>
      <c r="G3" s="64"/>
      <c r="H3" s="50" t="s">
        <v>118</v>
      </c>
    </row>
    <row r="4" spans="1:9" x14ac:dyDescent="0.35">
      <c r="A4" s="63"/>
      <c r="B4" s="50" t="s">
        <v>42</v>
      </c>
      <c r="C4" s="50" t="s">
        <v>42</v>
      </c>
      <c r="D4" s="64" t="s">
        <v>51</v>
      </c>
      <c r="G4" s="64"/>
      <c r="H4" s="50" t="s">
        <v>118</v>
      </c>
    </row>
    <row r="5" spans="1:9" x14ac:dyDescent="0.35">
      <c r="A5" s="63"/>
      <c r="B5" s="50" t="s">
        <v>43</v>
      </c>
      <c r="C5" s="50" t="s">
        <v>43</v>
      </c>
      <c r="D5" s="64" t="s">
        <v>52</v>
      </c>
      <c r="G5" s="64"/>
      <c r="H5" s="50" t="s">
        <v>118</v>
      </c>
    </row>
    <row r="6" spans="1:9" x14ac:dyDescent="0.35">
      <c r="A6" s="63"/>
      <c r="B6" s="50" t="s">
        <v>44</v>
      </c>
      <c r="C6" s="50" t="s">
        <v>44</v>
      </c>
      <c r="D6" s="64" t="s">
        <v>53</v>
      </c>
      <c r="G6" s="64"/>
      <c r="H6" s="50" t="s">
        <v>118</v>
      </c>
    </row>
    <row r="7" spans="1:9" x14ac:dyDescent="0.35">
      <c r="A7" s="63"/>
      <c r="B7" s="50" t="s">
        <v>45</v>
      </c>
      <c r="C7" s="50" t="s">
        <v>45</v>
      </c>
      <c r="D7" s="64" t="s">
        <v>54</v>
      </c>
      <c r="G7" s="64"/>
      <c r="H7" s="50" t="s">
        <v>118</v>
      </c>
    </row>
    <row r="8" spans="1:9" x14ac:dyDescent="0.35">
      <c r="A8" s="89"/>
      <c r="B8" s="90" t="s">
        <v>46</v>
      </c>
      <c r="C8" s="90" t="s">
        <v>46</v>
      </c>
      <c r="D8" s="91" t="s">
        <v>55</v>
      </c>
      <c r="E8" s="90"/>
      <c r="F8" s="90"/>
      <c r="G8" s="91"/>
      <c r="H8" s="90" t="s">
        <v>118</v>
      </c>
      <c r="I8" s="90" t="s">
        <v>126</v>
      </c>
    </row>
    <row r="9" spans="1:9" x14ac:dyDescent="0.35">
      <c r="A9" s="63"/>
      <c r="B9" s="50" t="s">
        <v>47</v>
      </c>
      <c r="C9" s="50" t="s">
        <v>47</v>
      </c>
      <c r="D9" s="64" t="s">
        <v>56</v>
      </c>
      <c r="G9" s="64"/>
      <c r="H9" s="50" t="s">
        <v>118</v>
      </c>
    </row>
    <row r="10" spans="1:9" ht="15" thickBot="1" x14ac:dyDescent="0.4">
      <c r="A10" s="63"/>
      <c r="B10" s="50" t="s">
        <v>48</v>
      </c>
      <c r="C10" s="50" t="s">
        <v>48</v>
      </c>
      <c r="D10" s="64" t="s">
        <v>57</v>
      </c>
      <c r="G10" s="64"/>
      <c r="H10" s="50" t="s">
        <v>118</v>
      </c>
    </row>
    <row r="11" spans="1:9" ht="15" thickBot="1" x14ac:dyDescent="0.4">
      <c r="A11" s="122" t="s">
        <v>75</v>
      </c>
      <c r="B11" s="123" t="s">
        <v>58</v>
      </c>
      <c r="C11" s="123" t="s">
        <v>75</v>
      </c>
      <c r="D11" s="124" t="s">
        <v>79</v>
      </c>
      <c r="E11" s="123"/>
      <c r="F11" s="123"/>
      <c r="G11" s="124"/>
      <c r="H11" s="90"/>
      <c r="I11" s="90" t="s">
        <v>147</v>
      </c>
    </row>
    <row r="12" spans="1:9" ht="15" thickBot="1" x14ac:dyDescent="0.4">
      <c r="A12" s="65" t="s">
        <v>76</v>
      </c>
      <c r="B12" s="66" t="s">
        <v>59</v>
      </c>
      <c r="C12" s="66" t="s">
        <v>76</v>
      </c>
      <c r="D12" s="67" t="s">
        <v>80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Q12"/>
  <sheetViews>
    <sheetView tabSelected="1" topLeftCell="E1" zoomScale="130" zoomScaleNormal="130" workbookViewId="0">
      <selection activeCell="Q11" sqref="Q11"/>
    </sheetView>
  </sheetViews>
  <sheetFormatPr defaultColWidth="29.81640625" defaultRowHeight="14.5" x14ac:dyDescent="0.35"/>
  <cols>
    <col min="1" max="1" width="18.81640625" style="50" customWidth="1"/>
    <col min="2" max="2" width="16.81640625" style="50" customWidth="1"/>
    <col min="3" max="3" width="14.453125" style="50" customWidth="1"/>
    <col min="4" max="4" width="23.1796875" style="50" customWidth="1"/>
    <col min="5" max="13" width="6.453125" style="50" customWidth="1"/>
    <col min="14" max="14" width="24.54296875" style="50" customWidth="1"/>
    <col min="15" max="15" width="16.453125" style="50" customWidth="1"/>
    <col min="16" max="16384" width="29.81640625" style="50"/>
  </cols>
  <sheetData>
    <row r="1" spans="1:17" ht="15" thickBot="1" x14ac:dyDescent="0.4">
      <c r="A1" s="59" t="s">
        <v>112</v>
      </c>
      <c r="B1" s="60" t="s">
        <v>113</v>
      </c>
      <c r="C1" s="60" t="s">
        <v>78</v>
      </c>
      <c r="D1" s="60" t="s">
        <v>77</v>
      </c>
      <c r="E1" s="135" t="s">
        <v>4</v>
      </c>
      <c r="F1" s="135"/>
      <c r="G1" s="135"/>
      <c r="H1" s="135" t="s">
        <v>5</v>
      </c>
      <c r="I1" s="135"/>
      <c r="J1" s="135"/>
      <c r="K1" s="135" t="s">
        <v>11</v>
      </c>
      <c r="L1" s="135"/>
      <c r="M1" s="135"/>
      <c r="N1" s="50" t="s">
        <v>144</v>
      </c>
      <c r="O1" s="50" t="s">
        <v>145</v>
      </c>
    </row>
    <row r="2" spans="1:17" x14ac:dyDescent="0.35">
      <c r="A2" s="63" t="s">
        <v>106</v>
      </c>
      <c r="B2" s="50" t="s">
        <v>109</v>
      </c>
      <c r="C2" s="50" t="s">
        <v>106</v>
      </c>
      <c r="D2" s="64" t="s">
        <v>80</v>
      </c>
      <c r="E2" s="110" t="s">
        <v>137</v>
      </c>
      <c r="F2" s="110" t="s">
        <v>139</v>
      </c>
      <c r="G2" s="111">
        <v>8</v>
      </c>
      <c r="H2" s="112" t="s">
        <v>140</v>
      </c>
      <c r="I2" s="113" t="s">
        <v>141</v>
      </c>
      <c r="J2" s="114">
        <v>3</v>
      </c>
      <c r="K2" s="115" t="s">
        <v>6</v>
      </c>
      <c r="L2" s="110" t="s">
        <v>14</v>
      </c>
      <c r="M2" s="114">
        <v>0</v>
      </c>
      <c r="N2">
        <v>231</v>
      </c>
      <c r="O2">
        <v>231</v>
      </c>
    </row>
    <row r="3" spans="1:17" x14ac:dyDescent="0.35">
      <c r="A3" s="63" t="s">
        <v>107</v>
      </c>
      <c r="B3" s="50" t="s">
        <v>110</v>
      </c>
      <c r="C3" s="50" t="s">
        <v>107</v>
      </c>
      <c r="D3" s="64" t="s">
        <v>98</v>
      </c>
      <c r="E3" s="110" t="s">
        <v>138</v>
      </c>
      <c r="F3" s="110" t="s">
        <v>139</v>
      </c>
      <c r="G3" s="111">
        <v>12</v>
      </c>
      <c r="H3" s="112" t="s">
        <v>140</v>
      </c>
      <c r="I3" s="113" t="s">
        <v>141</v>
      </c>
      <c r="J3" s="114">
        <v>10</v>
      </c>
      <c r="K3" s="115" t="s">
        <v>6</v>
      </c>
      <c r="L3" s="110" t="s">
        <v>142</v>
      </c>
      <c r="M3" s="114">
        <v>23</v>
      </c>
      <c r="N3">
        <v>112</v>
      </c>
      <c r="O3">
        <v>232</v>
      </c>
    </row>
    <row r="4" spans="1:17" x14ac:dyDescent="0.35">
      <c r="A4" s="63" t="s">
        <v>108</v>
      </c>
      <c r="B4" s="50" t="s">
        <v>111</v>
      </c>
      <c r="C4" s="50" t="s">
        <v>108</v>
      </c>
      <c r="D4" s="64" t="s">
        <v>99</v>
      </c>
      <c r="E4" s="110" t="s">
        <v>137</v>
      </c>
      <c r="F4" s="110" t="s">
        <v>32</v>
      </c>
      <c r="G4" s="111">
        <v>20</v>
      </c>
      <c r="H4" s="112" t="s">
        <v>6</v>
      </c>
      <c r="I4" s="113" t="s">
        <v>9</v>
      </c>
      <c r="J4" s="114">
        <v>9</v>
      </c>
      <c r="K4" s="115" t="s">
        <v>140</v>
      </c>
      <c r="L4" s="110" t="s">
        <v>143</v>
      </c>
      <c r="M4" s="114">
        <v>25</v>
      </c>
      <c r="N4">
        <v>100</v>
      </c>
      <c r="O4">
        <v>230</v>
      </c>
    </row>
    <row r="5" spans="1:17" x14ac:dyDescent="0.35">
      <c r="A5" s="63" t="s">
        <v>133</v>
      </c>
      <c r="B5" s="50" t="s">
        <v>134</v>
      </c>
      <c r="C5" s="50" t="s">
        <v>133</v>
      </c>
      <c r="D5" s="64" t="s">
        <v>79</v>
      </c>
      <c r="E5" s="110" t="s">
        <v>137</v>
      </c>
      <c r="F5" s="110" t="s">
        <v>139</v>
      </c>
      <c r="G5" s="111">
        <v>9</v>
      </c>
      <c r="H5" s="112" t="s">
        <v>6</v>
      </c>
      <c r="I5" s="113" t="s">
        <v>141</v>
      </c>
      <c r="J5" s="114">
        <v>11</v>
      </c>
      <c r="K5" s="115" t="s">
        <v>140</v>
      </c>
      <c r="L5" s="110" t="s">
        <v>143</v>
      </c>
      <c r="M5" s="114">
        <v>38</v>
      </c>
      <c r="N5">
        <v>80</v>
      </c>
      <c r="O5">
        <v>90</v>
      </c>
      <c r="P5" s="136">
        <f>2*J5*M5</f>
        <v>836</v>
      </c>
      <c r="Q5" s="136">
        <f>2*(G5*J5+G5*M5+J5*M5)</f>
        <v>1718</v>
      </c>
    </row>
    <row r="6" spans="1:17" ht="15" thickBot="1" x14ac:dyDescent="0.4">
      <c r="A6" s="63" t="s">
        <v>135</v>
      </c>
      <c r="B6" s="50" t="s">
        <v>136</v>
      </c>
      <c r="C6" s="50" t="s">
        <v>135</v>
      </c>
      <c r="D6" s="64" t="s">
        <v>89</v>
      </c>
      <c r="E6" s="116" t="s">
        <v>137</v>
      </c>
      <c r="F6" s="116" t="s">
        <v>32</v>
      </c>
      <c r="G6" s="117">
        <v>18</v>
      </c>
      <c r="H6" s="118" t="s">
        <v>140</v>
      </c>
      <c r="I6" s="119" t="s">
        <v>141</v>
      </c>
      <c r="J6" s="120">
        <v>17</v>
      </c>
      <c r="K6" s="121" t="s">
        <v>6</v>
      </c>
      <c r="L6" s="116" t="s">
        <v>143</v>
      </c>
      <c r="M6" s="120">
        <v>19</v>
      </c>
      <c r="N6">
        <v>35</v>
      </c>
      <c r="O6">
        <v>187</v>
      </c>
      <c r="P6" s="136">
        <f>2*J6*M6</f>
        <v>646</v>
      </c>
      <c r="Q6" s="136">
        <f>2*(G6*J6+G6*M6+J6*M6)</f>
        <v>1942</v>
      </c>
    </row>
    <row r="7" spans="1:17" x14ac:dyDescent="0.35">
      <c r="A7" s="63"/>
      <c r="D7" s="64" t="s">
        <v>90</v>
      </c>
      <c r="G7" s="64"/>
    </row>
    <row r="8" spans="1:17" x14ac:dyDescent="0.35">
      <c r="A8" s="63"/>
      <c r="D8" s="64" t="s">
        <v>91</v>
      </c>
      <c r="G8" s="64"/>
    </row>
    <row r="9" spans="1:17" x14ac:dyDescent="0.35">
      <c r="A9" s="63"/>
      <c r="D9" s="64" t="s">
        <v>92</v>
      </c>
      <c r="G9" s="64"/>
    </row>
    <row r="10" spans="1:17" ht="15" thickBot="1" x14ac:dyDescent="0.4">
      <c r="A10" s="63"/>
      <c r="D10" s="64"/>
      <c r="G10" s="64"/>
    </row>
    <row r="11" spans="1:17" ht="15" thickBot="1" x14ac:dyDescent="0.4">
      <c r="A11" s="68"/>
      <c r="B11" s="61"/>
      <c r="C11" s="61"/>
      <c r="D11" s="62"/>
      <c r="E11" s="61"/>
      <c r="F11" s="61"/>
      <c r="G11" s="62"/>
      <c r="N11" s="50" t="s">
        <v>146</v>
      </c>
    </row>
    <row r="12" spans="1:17" ht="15" thickBot="1" x14ac:dyDescent="0.4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2026-02-19T05:48:14Z</dcterms:modified>
</cp:coreProperties>
</file>