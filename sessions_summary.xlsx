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i\Storage\Projects\ThalamoCorticalNetwork\"/>
    </mc:Choice>
  </mc:AlternateContent>
  <xr:revisionPtr revIDLastSave="0" documentId="13_ncr:1_{52230738-E0DB-4356-A344-E636166FEE77}" xr6:coauthVersionLast="47" xr6:coauthVersionMax="47" xr10:uidLastSave="{00000000-0000-0000-0000-000000000000}"/>
  <bookViews>
    <workbookView xWindow="-18120" yWindow="-11115" windowWidth="18240" windowHeight="28320" activeTab="1" xr2:uid="{56367E76-6CBF-4746-8F91-48887379FCA8}"/>
  </bookViews>
  <sheets>
    <sheet name="Overview" sheetId="6" r:id="rId1"/>
    <sheet name="Slayer" sheetId="1" r:id="rId2"/>
    <sheet name="Zeppelin" sheetId="2" r:id="rId3"/>
    <sheet name="Emperor" sheetId="5" r:id="rId4"/>
    <sheet name="Lemmy-Kaining" sheetId="3" r:id="rId5"/>
    <sheet name="Slayer-Kaini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27" i="1" s="1"/>
  <c r="U11" i="1"/>
  <c r="U12" i="1"/>
  <c r="U13" i="1"/>
  <c r="U14" i="1"/>
  <c r="U15" i="1"/>
  <c r="U16" i="1"/>
  <c r="U17" i="1"/>
  <c r="U18" i="1"/>
  <c r="U19" i="1"/>
  <c r="U20" i="1"/>
  <c r="U21" i="1"/>
  <c r="U2" i="1"/>
  <c r="T3" i="1"/>
  <c r="T4" i="1"/>
  <c r="T5" i="1"/>
  <c r="T6" i="1"/>
  <c r="T7" i="1"/>
  <c r="T8" i="1"/>
  <c r="T9" i="1"/>
  <c r="T10" i="1"/>
  <c r="T11" i="1"/>
  <c r="T12" i="1"/>
  <c r="T27" i="1" s="1"/>
  <c r="T13" i="1"/>
  <c r="T14" i="1"/>
  <c r="T15" i="1"/>
  <c r="T16" i="1"/>
  <c r="T17" i="1"/>
  <c r="T28" i="1" s="1"/>
  <c r="T18" i="1"/>
  <c r="T19" i="1"/>
  <c r="T20" i="1"/>
  <c r="T21" i="1"/>
  <c r="T2" i="1"/>
  <c r="S27" i="1"/>
  <c r="S28" i="1"/>
  <c r="U28" i="1"/>
  <c r="R28" i="1"/>
  <c r="R27" i="1"/>
  <c r="Q6" i="5"/>
  <c r="Q5" i="5"/>
  <c r="P6" i="5"/>
  <c r="P5" i="5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S2" i="1"/>
  <c r="R2" i="1"/>
  <c r="J24" i="1"/>
  <c r="J23" i="1"/>
  <c r="M24" i="1"/>
  <c r="M23" i="1"/>
  <c r="G23" i="1"/>
  <c r="G24" i="1"/>
</calcChain>
</file>

<file path=xl/sharedStrings.xml><?xml version="1.0" encoding="utf-8"?>
<sst xmlns="http://schemas.openxmlformats.org/spreadsheetml/2006/main" count="385" uniqueCount="160">
  <si>
    <t>P3</t>
  </si>
  <si>
    <t>L1</t>
  </si>
  <si>
    <t>L3</t>
  </si>
  <si>
    <t>M2</t>
  </si>
  <si>
    <t>Thalamus</t>
  </si>
  <si>
    <t>ACC</t>
  </si>
  <si>
    <t>A2</t>
  </si>
  <si>
    <t>A3</t>
  </si>
  <si>
    <t>A1</t>
  </si>
  <si>
    <t>M4</t>
  </si>
  <si>
    <t>M5</t>
  </si>
  <si>
    <t>VLPFC</t>
  </si>
  <si>
    <t>P1</t>
  </si>
  <si>
    <t>L2</t>
  </si>
  <si>
    <t>L4</t>
  </si>
  <si>
    <t>A0</t>
  </si>
  <si>
    <t>M0</t>
  </si>
  <si>
    <t>M6</t>
  </si>
  <si>
    <t>10272023-001</t>
  </si>
  <si>
    <t>11012023-004</t>
  </si>
  <si>
    <t>11102023-001</t>
  </si>
  <si>
    <t>11172023-001</t>
  </si>
  <si>
    <t>12012023-001</t>
  </si>
  <si>
    <t>12082023-001</t>
  </si>
  <si>
    <t>12152023-001</t>
  </si>
  <si>
    <t>12292023-001</t>
  </si>
  <si>
    <t>08112023-003</t>
  </si>
  <si>
    <t>08142023-001</t>
  </si>
  <si>
    <t>08152023-001</t>
  </si>
  <si>
    <t>08162023-001</t>
  </si>
  <si>
    <t>08172023-001</t>
  </si>
  <si>
    <t>01052024-001</t>
  </si>
  <si>
    <t>M1</t>
  </si>
  <si>
    <t>TOTAL</t>
  </si>
  <si>
    <t>01122024-001</t>
  </si>
  <si>
    <t>01302024-001</t>
  </si>
  <si>
    <t>02022024-001</t>
  </si>
  <si>
    <t>02092024-001</t>
  </si>
  <si>
    <t>02162024-001</t>
  </si>
  <si>
    <t>02292024-001</t>
  </si>
  <si>
    <t>02122024-004</t>
  </si>
  <si>
    <t>02142024-002</t>
  </si>
  <si>
    <t>02212024-001</t>
  </si>
  <si>
    <t>02212024-002</t>
  </si>
  <si>
    <t>02222024-002</t>
  </si>
  <si>
    <t>02282024-001</t>
  </si>
  <si>
    <t>02282024-002</t>
  </si>
  <si>
    <t>02292024-002</t>
  </si>
  <si>
    <t>02292024-003</t>
  </si>
  <si>
    <t>No injection 1</t>
  </si>
  <si>
    <t>No injection 2</t>
  </si>
  <si>
    <t>No injection 3</t>
  </si>
  <si>
    <t>No injection 4</t>
  </si>
  <si>
    <t>No injection 5</t>
  </si>
  <si>
    <t>No injection 6</t>
  </si>
  <si>
    <t>No injection 7</t>
  </si>
  <si>
    <t>No injection 8</t>
  </si>
  <si>
    <t>No injection 9</t>
  </si>
  <si>
    <t>03072024-001</t>
  </si>
  <si>
    <t>03122024-001</t>
  </si>
  <si>
    <t>10272023-008</t>
  </si>
  <si>
    <t>11012023-008</t>
  </si>
  <si>
    <t>11102023-008</t>
  </si>
  <si>
    <t>11172023-008</t>
  </si>
  <si>
    <t>12012023-008</t>
  </si>
  <si>
    <t>12082023-008</t>
  </si>
  <si>
    <t>12152023-008</t>
  </si>
  <si>
    <t>12292023-008</t>
  </si>
  <si>
    <t>01052024-008</t>
  </si>
  <si>
    <t>01122024-008</t>
  </si>
  <si>
    <t>01302024-008</t>
  </si>
  <si>
    <t>02022024-008</t>
  </si>
  <si>
    <t>02092024-008</t>
  </si>
  <si>
    <t>02162024-008</t>
  </si>
  <si>
    <t>02292024-008</t>
  </si>
  <si>
    <t>03072024-008</t>
  </si>
  <si>
    <t>03122024-008</t>
  </si>
  <si>
    <t>session type</t>
  </si>
  <si>
    <t>eyeID file name</t>
  </si>
  <si>
    <t>Muscimol 1</t>
  </si>
  <si>
    <t>Saline 1</t>
  </si>
  <si>
    <t xml:space="preserve">Monkey name </t>
  </si>
  <si>
    <t>Slayer</t>
  </si>
  <si>
    <t>Zeppelin</t>
  </si>
  <si>
    <t>Emperor</t>
  </si>
  <si>
    <t>Lemmy</t>
  </si>
  <si>
    <t>(Kaining's dataset)</t>
  </si>
  <si>
    <t>session number</t>
  </si>
  <si>
    <t>neuron number</t>
  </si>
  <si>
    <t>Muscimol 2</t>
  </si>
  <si>
    <t>Muscimol 3</t>
  </si>
  <si>
    <t>Muscimol 4</t>
  </si>
  <si>
    <t>Muscimol 5</t>
  </si>
  <si>
    <t>Muscimol 6</t>
  </si>
  <si>
    <t>Muscimol 7</t>
  </si>
  <si>
    <t>Muscimol 8</t>
  </si>
  <si>
    <t>Muscimol 9</t>
  </si>
  <si>
    <t>Muscimol 10</t>
  </si>
  <si>
    <t>Saline 2</t>
  </si>
  <si>
    <t>Saline 3</t>
  </si>
  <si>
    <t>Saline 4</t>
  </si>
  <si>
    <t>Saline 5</t>
  </si>
  <si>
    <t>total</t>
  </si>
  <si>
    <t>No inj</t>
  </si>
  <si>
    <t>Mus</t>
  </si>
  <si>
    <t>Sal</t>
  </si>
  <si>
    <t>12122025-008</t>
  </si>
  <si>
    <t>12262025-008</t>
  </si>
  <si>
    <t>01022026-008</t>
  </si>
  <si>
    <t>12122025-001</t>
  </si>
  <si>
    <t>12262025-001</t>
  </si>
  <si>
    <t>01022026-001</t>
  </si>
  <si>
    <t>cortex PDS file name</t>
  </si>
  <si>
    <t>thal PDS file name</t>
  </si>
  <si>
    <t>11012023-008/9</t>
  </si>
  <si>
    <t>Muscimol not working.</t>
  </si>
  <si>
    <t>thal 002 files</t>
  </si>
  <si>
    <t>no eye ID</t>
  </si>
  <si>
    <t>thal only</t>
  </si>
  <si>
    <t>Muscimol not working. Cortical has 008 and 009</t>
  </si>
  <si>
    <t>Pre</t>
  </si>
  <si>
    <t>Post</t>
  </si>
  <si>
    <t>Task</t>
  </si>
  <si>
    <t>Open</t>
  </si>
  <si>
    <t>Close</t>
  </si>
  <si>
    <t>Excluded: Muscimol injection failed.</t>
  </si>
  <si>
    <t>Excluded: no eye-close</t>
  </si>
  <si>
    <t>No injection</t>
  </si>
  <si>
    <t>Muscimol</t>
  </si>
  <si>
    <t>Saline</t>
  </si>
  <si>
    <t>3: mostly thal</t>
  </si>
  <si>
    <t>8: thal only</t>
  </si>
  <si>
    <t>Thalamus data lost in PreRestOpen (not affecting cortex)</t>
  </si>
  <si>
    <t>01092026-008</t>
  </si>
  <si>
    <t>01092026-001</t>
  </si>
  <si>
    <t>01162026-008</t>
  </si>
  <si>
    <t>01162026-001</t>
  </si>
  <si>
    <t>P9</t>
  </si>
  <si>
    <t>P8</t>
  </si>
  <si>
    <t>L0</t>
  </si>
  <si>
    <t>A4</t>
  </si>
  <si>
    <t>M3</t>
  </si>
  <si>
    <t>L7</t>
  </si>
  <si>
    <t>L6</t>
  </si>
  <si>
    <t>Aligned resting duration (s)</t>
  </si>
  <si>
    <t>Pre-only duration</t>
  </si>
  <si>
    <t xml:space="preserve"> </t>
  </si>
  <si>
    <t>Excluded: Post no eye-close</t>
  </si>
  <si>
    <t>~300</t>
  </si>
  <si>
    <t>~400</t>
  </si>
  <si>
    <t>Thal 20-18</t>
  </si>
  <si>
    <t>Thal 35-18</t>
  </si>
  <si>
    <t>ctx across</t>
  </si>
  <si>
    <t>all across</t>
  </si>
  <si>
    <t>Muscimol total</t>
  </si>
  <si>
    <t>Saline total</t>
  </si>
  <si>
    <t>across</t>
  </si>
  <si>
    <t>within</t>
  </si>
  <si>
    <t>ctx within</t>
  </si>
  <si>
    <t>all 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</si>
</sst>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0" xfId="0" applyAlignment="1">
      <alignment horizontal="right"/>
    </xf>
    <xf numFmtId="0" fontId="1" fillId="3" borderId="1" xfId="0" applyFont="1" applyFill="1" applyBorder="1"/>
    <xf numFmtId="0" fontId="1" fillId="3" borderId="0" xfId="0" applyFont="1" applyFill="1"/>
    <xf numFmtId="0" fontId="1" fillId="3" borderId="2" xfId="0" applyFont="1" applyFill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0" fillId="4" borderId="0" xfId="0" applyFill="1" applyAlignment="1">
      <alignment horizontal="left"/>
    </xf>
    <xf numFmtId="0" fontId="1" fillId="0" borderId="2" xfId="0" applyFont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2" xfId="0" applyFont="1" applyFill="1" applyBorder="1" applyAlignment="1">
      <alignment horizontal="right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2" borderId="5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3" borderId="0" xfId="0" applyFill="1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right"/>
    </xf>
    <xf numFmtId="49" fontId="0" fillId="0" borderId="0" xfId="0" applyNumberFormat="1"/>
    <xf numFmtId="0" fontId="3" fillId="0" borderId="0" xfId="0" applyFont="1"/>
    <xf numFmtId="0" fontId="3" fillId="0" borderId="2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13" xfId="0" applyFont="1" applyBorder="1"/>
    <xf numFmtId="0" fontId="3" fillId="0" borderId="14" xfId="0" applyFont="1" applyBorder="1"/>
    <xf numFmtId="49" fontId="0" fillId="0" borderId="14" xfId="0" applyNumberFormat="1" applyBorder="1"/>
    <xf numFmtId="49" fontId="0" fillId="0" borderId="15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4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0" fontId="3" fillId="0" borderId="15" xfId="0" applyFont="1" applyBorder="1"/>
    <xf numFmtId="0" fontId="0" fillId="0" borderId="24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26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" xfId="0" applyFill="1" applyBorder="1"/>
    <xf numFmtId="0" fontId="0" fillId="5" borderId="0" xfId="0" applyFill="1" applyAlignment="1">
      <alignment horizontal="left"/>
    </xf>
    <xf numFmtId="0" fontId="0" fillId="5" borderId="2" xfId="0" applyFill="1" applyBorder="1" applyAlignment="1">
      <alignment horizontal="right"/>
    </xf>
    <xf numFmtId="0" fontId="0" fillId="5" borderId="1" xfId="0" applyFill="1" applyBorder="1"/>
    <xf numFmtId="0" fontId="0" fillId="5" borderId="0" xfId="0" applyFill="1"/>
    <xf numFmtId="0" fontId="0" fillId="5" borderId="1" xfId="0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1" fillId="5" borderId="2" xfId="0" applyFont="1" applyFill="1" applyBorder="1" applyAlignment="1">
      <alignment horizontal="right"/>
    </xf>
    <xf numFmtId="49" fontId="0" fillId="6" borderId="9" xfId="0" applyNumberFormat="1" applyFill="1" applyBorder="1"/>
    <xf numFmtId="49" fontId="0" fillId="6" borderId="0" xfId="0" applyNumberFormat="1" applyFill="1"/>
    <xf numFmtId="49" fontId="0" fillId="6" borderId="10" xfId="0" applyNumberFormat="1" applyFill="1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9" xfId="0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4" fillId="0" borderId="5" xfId="0" applyFont="1" applyBorder="1"/>
    <xf numFmtId="0" fontId="4" fillId="0" borderId="4" xfId="0" applyFont="1" applyBorder="1"/>
    <xf numFmtId="0" fontId="4" fillId="0" borderId="3" xfId="0" applyFont="1" applyBorder="1"/>
    <xf numFmtId="0" fontId="4" fillId="0" borderId="5" xfId="0" applyFont="1" applyBorder="1" applyAlignment="1">
      <alignment horizontal="left"/>
    </xf>
    <xf numFmtId="49" fontId="0" fillId="6" borderId="13" xfId="0" applyNumberFormat="1" applyFill="1" applyBorder="1"/>
    <xf numFmtId="49" fontId="0" fillId="6" borderId="14" xfId="0" applyNumberFormat="1" applyFill="1" applyBorder="1"/>
    <xf numFmtId="49" fontId="0" fillId="6" borderId="15" xfId="0" applyNumberFormat="1" applyFill="1" applyBorder="1"/>
    <xf numFmtId="0" fontId="3" fillId="0" borderId="2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1CD7-F882-46FB-A302-DE4F0A9E1B83}">
  <dimension ref="B3:L15"/>
  <sheetViews>
    <sheetView zoomScale="130" zoomScaleNormal="130" workbookViewId="0">
      <selection activeCell="G9" sqref="G9"/>
    </sheetView>
  </sheetViews>
  <sheetFormatPr defaultRowHeight="15" x14ac:dyDescent="0.25"/>
  <cols>
    <col min="2" max="2" width="16.5703125" customWidth="1"/>
    <col min="3" max="3" width="13.140625" customWidth="1"/>
    <col min="4" max="6" width="12.85546875" style="105" customWidth="1"/>
    <col min="7" max="11" width="7" customWidth="1"/>
  </cols>
  <sheetData>
    <row r="3" spans="2:12" ht="15.75" thickBot="1" x14ac:dyDescent="0.3"/>
    <row r="4" spans="2:12" ht="15.75" thickBot="1" x14ac:dyDescent="0.3">
      <c r="C4" s="130" t="s">
        <v>81</v>
      </c>
      <c r="D4" s="127" t="s">
        <v>87</v>
      </c>
      <c r="E4" s="128"/>
      <c r="F4" s="128"/>
      <c r="G4" s="129"/>
      <c r="H4" s="132" t="s">
        <v>88</v>
      </c>
      <c r="I4" s="128"/>
      <c r="J4" s="128"/>
      <c r="K4" s="129"/>
    </row>
    <row r="5" spans="2:12" ht="15.75" thickBot="1" x14ac:dyDescent="0.3">
      <c r="C5" s="131"/>
      <c r="D5" s="106" t="s">
        <v>127</v>
      </c>
      <c r="E5" s="107" t="s">
        <v>128</v>
      </c>
      <c r="F5" s="108" t="s">
        <v>129</v>
      </c>
      <c r="G5" s="109" t="s">
        <v>102</v>
      </c>
      <c r="H5" s="3" t="s">
        <v>103</v>
      </c>
      <c r="I5" s="73" t="s">
        <v>104</v>
      </c>
      <c r="J5" s="2" t="s">
        <v>105</v>
      </c>
      <c r="K5" s="78" t="s">
        <v>102</v>
      </c>
    </row>
    <row r="6" spans="2:12" x14ac:dyDescent="0.25">
      <c r="C6" s="57" t="s">
        <v>82</v>
      </c>
      <c r="D6" s="92">
        <v>5</v>
      </c>
      <c r="E6" s="103">
        <v>8</v>
      </c>
      <c r="F6" s="94">
        <v>5</v>
      </c>
      <c r="G6" s="95">
        <v>18</v>
      </c>
      <c r="H6" s="58"/>
      <c r="I6" s="74"/>
      <c r="J6" s="75"/>
      <c r="K6" s="57"/>
    </row>
    <row r="7" spans="2:12" x14ac:dyDescent="0.25">
      <c r="C7" s="54" t="s">
        <v>83</v>
      </c>
      <c r="D7" s="104" t="s">
        <v>131</v>
      </c>
      <c r="E7" s="96">
        <v>1</v>
      </c>
      <c r="F7" s="97">
        <v>1</v>
      </c>
      <c r="G7" s="98">
        <v>10</v>
      </c>
      <c r="H7" s="53"/>
      <c r="I7" s="70"/>
      <c r="J7" s="76"/>
      <c r="K7" s="54"/>
    </row>
    <row r="8" spans="2:12" ht="15.75" thickBot="1" x14ac:dyDescent="0.3">
      <c r="C8" s="55" t="s">
        <v>84</v>
      </c>
      <c r="D8" s="99">
        <v>0</v>
      </c>
      <c r="E8" s="100">
        <v>5</v>
      </c>
      <c r="F8" s="101" t="s">
        <v>130</v>
      </c>
      <c r="G8" s="102">
        <v>8</v>
      </c>
      <c r="H8" s="56"/>
      <c r="I8" s="71"/>
      <c r="J8" s="77"/>
      <c r="K8" s="55"/>
    </row>
    <row r="9" spans="2:12" ht="15.75" thickBot="1" x14ac:dyDescent="0.3">
      <c r="C9" s="72"/>
      <c r="D9" s="106"/>
      <c r="E9" s="107"/>
      <c r="F9" s="108"/>
      <c r="G9" s="72"/>
      <c r="H9" s="3"/>
      <c r="I9" s="73"/>
      <c r="J9" s="2"/>
      <c r="K9" s="72"/>
    </row>
    <row r="10" spans="2:12" x14ac:dyDescent="0.25">
      <c r="B10" s="126" t="s">
        <v>86</v>
      </c>
      <c r="C10" s="57" t="s">
        <v>85</v>
      </c>
      <c r="D10" s="92"/>
      <c r="E10" s="93"/>
      <c r="F10" s="94"/>
      <c r="G10" s="57" t="s">
        <v>148</v>
      </c>
      <c r="H10" s="58"/>
      <c r="I10" s="74"/>
      <c r="J10" s="75"/>
      <c r="K10" s="57"/>
    </row>
    <row r="11" spans="2:12" ht="15.75" thickBot="1" x14ac:dyDescent="0.3">
      <c r="B11" s="126"/>
      <c r="C11" s="55" t="s">
        <v>82</v>
      </c>
      <c r="D11" s="99"/>
      <c r="E11" s="100"/>
      <c r="F11" s="101"/>
      <c r="G11" s="55" t="s">
        <v>149</v>
      </c>
      <c r="H11" s="56"/>
      <c r="I11" s="71"/>
      <c r="J11" s="77"/>
      <c r="K11" s="55"/>
    </row>
    <row r="14" spans="2:12" x14ac:dyDescent="0.25">
      <c r="D14" s="126" t="s">
        <v>120</v>
      </c>
      <c r="E14" s="126"/>
      <c r="F14" s="126"/>
      <c r="G14" s="126" t="s">
        <v>121</v>
      </c>
      <c r="H14" s="126"/>
      <c r="I14" s="126"/>
      <c r="J14" s="126" t="s">
        <v>5</v>
      </c>
      <c r="K14" s="126" t="s">
        <v>11</v>
      </c>
      <c r="L14" s="126" t="s">
        <v>4</v>
      </c>
    </row>
    <row r="15" spans="2:12" x14ac:dyDescent="0.25">
      <c r="D15" s="44" t="s">
        <v>122</v>
      </c>
      <c r="E15" s="44" t="s">
        <v>123</v>
      </c>
      <c r="F15" s="44" t="s">
        <v>124</v>
      </c>
      <c r="G15" s="44" t="s">
        <v>122</v>
      </c>
      <c r="H15" s="44" t="s">
        <v>123</v>
      </c>
      <c r="I15" s="44" t="s">
        <v>124</v>
      </c>
      <c r="J15" s="126"/>
      <c r="K15" s="126"/>
      <c r="L15" s="126"/>
    </row>
  </sheetData>
  <mergeCells count="9">
    <mergeCell ref="L14:L15"/>
    <mergeCell ref="K14:K15"/>
    <mergeCell ref="J14:J15"/>
    <mergeCell ref="B10:B11"/>
    <mergeCell ref="D4:G4"/>
    <mergeCell ref="C4:C5"/>
    <mergeCell ref="H4:K4"/>
    <mergeCell ref="D14:F14"/>
    <mergeCell ref="G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E666-9548-4978-AD59-82159C4DB165}">
  <dimension ref="A1:U33"/>
  <sheetViews>
    <sheetView tabSelected="1" topLeftCell="D1" zoomScaleNormal="100" workbookViewId="0">
      <selection activeCell="O43" sqref="O43"/>
    </sheetView>
  </sheetViews>
  <sheetFormatPr defaultColWidth="5.42578125" defaultRowHeight="15" x14ac:dyDescent="0.25"/>
  <cols>
    <col min="1" max="1" width="20.42578125" customWidth="1"/>
    <col min="2" max="2" width="24.5703125" customWidth="1"/>
    <col min="3" max="3" width="13.85546875" customWidth="1"/>
    <col min="4" max="4" width="18" customWidth="1"/>
    <col min="5" max="6" width="5.42578125" style="1"/>
    <col min="7" max="7" width="6.140625" style="14" bestFit="1" customWidth="1"/>
    <col min="11" max="11" width="5.42578125" style="1"/>
    <col min="12" max="12" width="4.140625" style="1" customWidth="1"/>
    <col min="13" max="13" width="5.28515625" customWidth="1"/>
    <col min="14" max="14" width="20.5703125" customWidth="1"/>
    <col min="15" max="15" width="14.140625" customWidth="1"/>
    <col min="16" max="16" width="6.140625" customWidth="1"/>
    <col min="17" max="17" width="8.85546875" customWidth="1"/>
    <col min="18" max="21" width="12.7109375" customWidth="1"/>
  </cols>
  <sheetData>
    <row r="1" spans="1:21" x14ac:dyDescent="0.25">
      <c r="A1" s="51" t="s">
        <v>112</v>
      </c>
      <c r="B1" s="51" t="s">
        <v>113</v>
      </c>
      <c r="C1" s="51" t="s">
        <v>78</v>
      </c>
      <c r="D1" s="52" t="s">
        <v>77</v>
      </c>
      <c r="E1" s="133" t="s">
        <v>4</v>
      </c>
      <c r="F1" s="133"/>
      <c r="G1" s="134"/>
      <c r="H1" s="135" t="s">
        <v>5</v>
      </c>
      <c r="I1" s="133"/>
      <c r="J1" s="134"/>
      <c r="K1" s="135" t="s">
        <v>11</v>
      </c>
      <c r="L1" s="133"/>
      <c r="M1" s="134"/>
      <c r="R1" t="s">
        <v>152</v>
      </c>
      <c r="S1" t="s">
        <v>153</v>
      </c>
      <c r="T1" t="s">
        <v>158</v>
      </c>
      <c r="U1" t="s">
        <v>159</v>
      </c>
    </row>
    <row r="2" spans="1:21" x14ac:dyDescent="0.25">
      <c r="A2" s="44" t="s">
        <v>26</v>
      </c>
      <c r="B2" s="44" t="s">
        <v>26</v>
      </c>
      <c r="C2" s="42"/>
      <c r="D2" s="3" t="s">
        <v>49</v>
      </c>
      <c r="E2" s="22" t="s">
        <v>0</v>
      </c>
      <c r="F2" s="22" t="s">
        <v>1</v>
      </c>
      <c r="G2" s="27">
        <v>37</v>
      </c>
      <c r="H2" s="23" t="s">
        <v>6</v>
      </c>
      <c r="I2" s="24" t="s">
        <v>9</v>
      </c>
      <c r="J2" s="25">
        <v>0</v>
      </c>
      <c r="K2" s="21" t="s">
        <v>15</v>
      </c>
      <c r="L2" s="22" t="s">
        <v>13</v>
      </c>
      <c r="M2" s="20">
        <v>49</v>
      </c>
      <c r="N2" t="s">
        <v>117</v>
      </c>
      <c r="R2">
        <f>J2*M2*2</f>
        <v>0</v>
      </c>
      <c r="S2">
        <f>(J2*M2+G2*J2+G2*M2)*2</f>
        <v>3626</v>
      </c>
      <c r="T2">
        <f>J2*(J2-1)+M2*(M2-1)</f>
        <v>2352</v>
      </c>
      <c r="U2">
        <f>J2*(J2-1)+M2*(M2-1)+G2*(G2-1)</f>
        <v>3684</v>
      </c>
    </row>
    <row r="3" spans="1:21" x14ac:dyDescent="0.25">
      <c r="A3" s="44" t="s">
        <v>27</v>
      </c>
      <c r="B3" s="44" t="s">
        <v>27</v>
      </c>
      <c r="C3" s="42"/>
      <c r="D3" s="11" t="s">
        <v>50</v>
      </c>
      <c r="E3" s="29" t="s">
        <v>0</v>
      </c>
      <c r="F3" s="29" t="s">
        <v>2</v>
      </c>
      <c r="G3" s="30">
        <v>40</v>
      </c>
      <c r="H3" s="15" t="s">
        <v>7</v>
      </c>
      <c r="I3" s="16" t="s">
        <v>9</v>
      </c>
      <c r="J3" s="17">
        <v>11</v>
      </c>
      <c r="K3" s="9" t="s">
        <v>15</v>
      </c>
      <c r="L3" s="47" t="s">
        <v>2</v>
      </c>
      <c r="M3" s="11">
        <v>21</v>
      </c>
      <c r="N3" t="s">
        <v>117</v>
      </c>
      <c r="R3">
        <f t="shared" ref="R3:R21" si="0">J3*M3*2</f>
        <v>462</v>
      </c>
      <c r="S3">
        <f t="shared" ref="S3:S21" si="1">(J3*M3+G3*J3+G3*M3)*2</f>
        <v>3022</v>
      </c>
      <c r="T3">
        <f t="shared" ref="T3:T21" si="2">J3*(J3-1)+M3*(M3-1)</f>
        <v>530</v>
      </c>
      <c r="U3">
        <f t="shared" ref="U3:U21" si="3">J3*(J3-1)+M3*(M3-1)+G3*(G3-1)</f>
        <v>2090</v>
      </c>
    </row>
    <row r="4" spans="1:21" x14ac:dyDescent="0.25">
      <c r="A4" s="44" t="s">
        <v>28</v>
      </c>
      <c r="B4" s="44" t="s">
        <v>28</v>
      </c>
      <c r="C4" s="42"/>
      <c r="D4" s="3" t="s">
        <v>51</v>
      </c>
      <c r="E4" s="5" t="s">
        <v>0</v>
      </c>
      <c r="F4" s="5" t="s">
        <v>16</v>
      </c>
      <c r="G4" s="13">
        <v>4</v>
      </c>
      <c r="H4" s="18" t="s">
        <v>8</v>
      </c>
      <c r="I4" s="19" t="s">
        <v>10</v>
      </c>
      <c r="J4" s="20">
        <v>45</v>
      </c>
      <c r="K4" s="7" t="s">
        <v>12</v>
      </c>
      <c r="L4" s="5" t="s">
        <v>13</v>
      </c>
      <c r="M4" s="4">
        <v>6</v>
      </c>
      <c r="N4" t="s">
        <v>117</v>
      </c>
      <c r="R4">
        <f t="shared" si="0"/>
        <v>540</v>
      </c>
      <c r="S4">
        <f t="shared" si="1"/>
        <v>948</v>
      </c>
      <c r="T4">
        <f t="shared" si="2"/>
        <v>2010</v>
      </c>
      <c r="U4">
        <f t="shared" si="3"/>
        <v>2022</v>
      </c>
    </row>
    <row r="5" spans="1:21" x14ac:dyDescent="0.25">
      <c r="A5" s="44" t="s">
        <v>29</v>
      </c>
      <c r="B5" s="44" t="s">
        <v>29</v>
      </c>
      <c r="C5" s="42"/>
      <c r="D5" s="11" t="s">
        <v>52</v>
      </c>
      <c r="E5" s="29" t="s">
        <v>0</v>
      </c>
      <c r="F5" s="29" t="s">
        <v>3</v>
      </c>
      <c r="G5" s="30">
        <v>53</v>
      </c>
      <c r="H5" s="15" t="s">
        <v>6</v>
      </c>
      <c r="I5" s="16" t="s">
        <v>10</v>
      </c>
      <c r="J5" s="17">
        <v>16</v>
      </c>
      <c r="K5" s="9" t="s">
        <v>8</v>
      </c>
      <c r="L5" s="47" t="s">
        <v>13</v>
      </c>
      <c r="M5" s="11">
        <v>19</v>
      </c>
      <c r="N5" t="s">
        <v>117</v>
      </c>
      <c r="R5">
        <f t="shared" si="0"/>
        <v>608</v>
      </c>
      <c r="S5">
        <f t="shared" si="1"/>
        <v>4318</v>
      </c>
      <c r="T5">
        <f t="shared" si="2"/>
        <v>582</v>
      </c>
      <c r="U5">
        <f t="shared" si="3"/>
        <v>3338</v>
      </c>
    </row>
    <row r="6" spans="1:21" ht="15.75" thickBot="1" x14ac:dyDescent="0.3">
      <c r="A6" s="79" t="s">
        <v>30</v>
      </c>
      <c r="B6" s="79" t="s">
        <v>30</v>
      </c>
      <c r="C6" s="31"/>
      <c r="D6" s="43" t="s">
        <v>53</v>
      </c>
      <c r="E6" s="32" t="s">
        <v>0</v>
      </c>
      <c r="F6" s="32" t="s">
        <v>16</v>
      </c>
      <c r="G6" s="33">
        <v>21</v>
      </c>
      <c r="H6" s="34" t="s">
        <v>7</v>
      </c>
      <c r="I6" s="35" t="s">
        <v>9</v>
      </c>
      <c r="J6" s="36">
        <v>1</v>
      </c>
      <c r="K6" s="37" t="s">
        <v>8</v>
      </c>
      <c r="L6" s="38" t="s">
        <v>1</v>
      </c>
      <c r="M6" s="36">
        <v>6</v>
      </c>
      <c r="N6" t="s">
        <v>117</v>
      </c>
      <c r="R6">
        <f t="shared" si="0"/>
        <v>12</v>
      </c>
      <c r="S6">
        <f t="shared" si="1"/>
        <v>306</v>
      </c>
      <c r="T6">
        <f t="shared" si="2"/>
        <v>30</v>
      </c>
      <c r="U6">
        <f t="shared" si="3"/>
        <v>450</v>
      </c>
    </row>
    <row r="7" spans="1:21" x14ac:dyDescent="0.25">
      <c r="A7" s="44" t="s">
        <v>60</v>
      </c>
      <c r="B7" s="44" t="s">
        <v>18</v>
      </c>
      <c r="C7" s="44" t="s">
        <v>60</v>
      </c>
      <c r="D7" s="11" t="s">
        <v>79</v>
      </c>
      <c r="E7" s="29" t="s">
        <v>0</v>
      </c>
      <c r="F7" s="29" t="s">
        <v>1</v>
      </c>
      <c r="G7" s="30">
        <v>55</v>
      </c>
      <c r="H7" s="10" t="s">
        <v>8</v>
      </c>
      <c r="I7" s="8" t="s">
        <v>10</v>
      </c>
      <c r="J7" s="11">
        <v>15</v>
      </c>
      <c r="K7" s="9" t="s">
        <v>15</v>
      </c>
      <c r="L7" s="47" t="s">
        <v>2</v>
      </c>
      <c r="M7" s="11">
        <v>19</v>
      </c>
      <c r="R7">
        <f t="shared" si="0"/>
        <v>570</v>
      </c>
      <c r="S7">
        <f t="shared" si="1"/>
        <v>4310</v>
      </c>
      <c r="T7">
        <f t="shared" si="2"/>
        <v>552</v>
      </c>
      <c r="U7">
        <f t="shared" si="3"/>
        <v>3522</v>
      </c>
    </row>
    <row r="8" spans="1:21" x14ac:dyDescent="0.25">
      <c r="A8" s="80" t="s">
        <v>114</v>
      </c>
      <c r="B8" s="80" t="s">
        <v>19</v>
      </c>
      <c r="C8" s="80" t="s">
        <v>61</v>
      </c>
      <c r="D8" s="81" t="s">
        <v>89</v>
      </c>
      <c r="E8" s="82" t="s">
        <v>0</v>
      </c>
      <c r="F8" s="82" t="s">
        <v>2</v>
      </c>
      <c r="G8" s="83">
        <v>43</v>
      </c>
      <c r="H8" s="84" t="s">
        <v>6</v>
      </c>
      <c r="I8" s="85" t="s">
        <v>9</v>
      </c>
      <c r="J8" s="81">
        <v>16</v>
      </c>
      <c r="K8" s="86" t="s">
        <v>15</v>
      </c>
      <c r="L8" s="82" t="s">
        <v>14</v>
      </c>
      <c r="M8" s="81">
        <v>5</v>
      </c>
      <c r="N8" s="85" t="s">
        <v>119</v>
      </c>
      <c r="O8" t="s">
        <v>125</v>
      </c>
      <c r="R8">
        <f t="shared" si="0"/>
        <v>160</v>
      </c>
      <c r="S8">
        <f t="shared" si="1"/>
        <v>1966</v>
      </c>
      <c r="T8">
        <f t="shared" si="2"/>
        <v>260</v>
      </c>
      <c r="U8">
        <f t="shared" si="3"/>
        <v>2066</v>
      </c>
    </row>
    <row r="9" spans="1:21" x14ac:dyDescent="0.25">
      <c r="A9" s="80" t="s">
        <v>62</v>
      </c>
      <c r="B9" s="80" t="s">
        <v>20</v>
      </c>
      <c r="C9" s="80" t="s">
        <v>62</v>
      </c>
      <c r="D9" s="81" t="s">
        <v>90</v>
      </c>
      <c r="E9" s="87" t="s">
        <v>0</v>
      </c>
      <c r="F9" s="87" t="s">
        <v>16</v>
      </c>
      <c r="G9" s="88">
        <v>64</v>
      </c>
      <c r="H9" s="84" t="s">
        <v>6</v>
      </c>
      <c r="I9" s="85" t="s">
        <v>10</v>
      </c>
      <c r="J9" s="81">
        <v>0</v>
      </c>
      <c r="K9" s="86" t="s">
        <v>8</v>
      </c>
      <c r="L9" s="82" t="s">
        <v>13</v>
      </c>
      <c r="M9" s="81">
        <v>31</v>
      </c>
      <c r="N9" s="85" t="s">
        <v>115</v>
      </c>
      <c r="O9" t="s">
        <v>125</v>
      </c>
      <c r="R9">
        <f t="shared" si="0"/>
        <v>0</v>
      </c>
      <c r="S9">
        <f t="shared" si="1"/>
        <v>3968</v>
      </c>
      <c r="T9">
        <f t="shared" si="2"/>
        <v>930</v>
      </c>
      <c r="U9">
        <f t="shared" si="3"/>
        <v>4962</v>
      </c>
    </row>
    <row r="10" spans="1:21" x14ac:dyDescent="0.25">
      <c r="A10" s="44" t="s">
        <v>63</v>
      </c>
      <c r="B10" s="44" t="s">
        <v>21</v>
      </c>
      <c r="C10" s="44" t="s">
        <v>63</v>
      </c>
      <c r="D10" s="3" t="s">
        <v>91</v>
      </c>
      <c r="E10" s="5" t="s">
        <v>0</v>
      </c>
      <c r="F10" s="5" t="s">
        <v>3</v>
      </c>
      <c r="G10" s="13">
        <v>5</v>
      </c>
      <c r="H10" s="23" t="s">
        <v>7</v>
      </c>
      <c r="I10" s="26" t="s">
        <v>10</v>
      </c>
      <c r="J10" s="25">
        <v>0</v>
      </c>
      <c r="K10" s="21" t="s">
        <v>15</v>
      </c>
      <c r="L10" s="22" t="s">
        <v>2</v>
      </c>
      <c r="M10" s="20">
        <v>26</v>
      </c>
      <c r="R10">
        <f t="shared" si="0"/>
        <v>0</v>
      </c>
      <c r="S10">
        <f t="shared" si="1"/>
        <v>260</v>
      </c>
      <c r="T10">
        <f t="shared" si="2"/>
        <v>650</v>
      </c>
      <c r="U10">
        <f t="shared" si="3"/>
        <v>670</v>
      </c>
    </row>
    <row r="11" spans="1:21" x14ac:dyDescent="0.25">
      <c r="A11" s="44" t="s">
        <v>64</v>
      </c>
      <c r="B11" s="44" t="s">
        <v>22</v>
      </c>
      <c r="C11" s="44" t="s">
        <v>64</v>
      </c>
      <c r="D11" s="3" t="s">
        <v>92</v>
      </c>
      <c r="E11" s="1" t="s">
        <v>0</v>
      </c>
      <c r="F11" s="1" t="s">
        <v>1</v>
      </c>
      <c r="G11" s="12">
        <v>54</v>
      </c>
      <c r="H11" s="2" t="s">
        <v>8</v>
      </c>
      <c r="I11" s="1" t="s">
        <v>10</v>
      </c>
      <c r="J11" s="3">
        <v>15</v>
      </c>
      <c r="K11" s="28" t="s">
        <v>15</v>
      </c>
      <c r="L11" s="26" t="s">
        <v>14</v>
      </c>
      <c r="M11" s="25">
        <v>0</v>
      </c>
      <c r="R11">
        <f t="shared" si="0"/>
        <v>0</v>
      </c>
      <c r="S11">
        <f t="shared" si="1"/>
        <v>1620</v>
      </c>
      <c r="T11">
        <f t="shared" si="2"/>
        <v>210</v>
      </c>
      <c r="U11">
        <f t="shared" si="3"/>
        <v>3072</v>
      </c>
    </row>
    <row r="12" spans="1:21" x14ac:dyDescent="0.25">
      <c r="A12" s="44" t="s">
        <v>65</v>
      </c>
      <c r="B12" s="44" t="s">
        <v>23</v>
      </c>
      <c r="C12" s="44" t="s">
        <v>65</v>
      </c>
      <c r="D12" s="3" t="s">
        <v>93</v>
      </c>
      <c r="E12" s="22" t="s">
        <v>0</v>
      </c>
      <c r="F12" s="22" t="s">
        <v>1</v>
      </c>
      <c r="G12" s="27">
        <v>56</v>
      </c>
      <c r="H12" s="18" t="s">
        <v>15</v>
      </c>
      <c r="I12" s="22" t="s">
        <v>10</v>
      </c>
      <c r="J12" s="20">
        <v>28</v>
      </c>
      <c r="K12" s="21" t="s">
        <v>8</v>
      </c>
      <c r="L12" s="22" t="s">
        <v>2</v>
      </c>
      <c r="M12" s="20">
        <v>25</v>
      </c>
      <c r="R12">
        <f t="shared" si="0"/>
        <v>1400</v>
      </c>
      <c r="S12">
        <f t="shared" si="1"/>
        <v>7336</v>
      </c>
      <c r="T12">
        <f t="shared" si="2"/>
        <v>1356</v>
      </c>
      <c r="U12">
        <f t="shared" si="3"/>
        <v>4436</v>
      </c>
    </row>
    <row r="13" spans="1:21" x14ac:dyDescent="0.25">
      <c r="A13" s="44" t="s">
        <v>66</v>
      </c>
      <c r="B13" s="44" t="s">
        <v>24</v>
      </c>
      <c r="C13" s="44" t="s">
        <v>66</v>
      </c>
      <c r="D13" s="3" t="s">
        <v>94</v>
      </c>
      <c r="E13" s="1" t="s">
        <v>0</v>
      </c>
      <c r="F13" s="1" t="s">
        <v>2</v>
      </c>
      <c r="G13" s="12">
        <v>36</v>
      </c>
      <c r="H13" s="2" t="s">
        <v>15</v>
      </c>
      <c r="I13" s="1" t="s">
        <v>9</v>
      </c>
      <c r="J13" s="3">
        <v>26</v>
      </c>
      <c r="K13" s="6" t="s">
        <v>8</v>
      </c>
      <c r="L13" s="1" t="s">
        <v>2</v>
      </c>
      <c r="M13" s="3">
        <v>53</v>
      </c>
      <c r="O13" t="s">
        <v>116</v>
      </c>
      <c r="R13">
        <f t="shared" si="0"/>
        <v>2756</v>
      </c>
      <c r="S13">
        <f t="shared" si="1"/>
        <v>8444</v>
      </c>
      <c r="T13">
        <f t="shared" si="2"/>
        <v>3406</v>
      </c>
      <c r="U13">
        <f t="shared" si="3"/>
        <v>4666</v>
      </c>
    </row>
    <row r="14" spans="1:21" x14ac:dyDescent="0.25">
      <c r="A14" s="44" t="s">
        <v>67</v>
      </c>
      <c r="B14" s="44" t="s">
        <v>25</v>
      </c>
      <c r="C14" s="44" t="s">
        <v>67</v>
      </c>
      <c r="D14" s="3" t="s">
        <v>95</v>
      </c>
      <c r="E14" s="22" t="s">
        <v>0</v>
      </c>
      <c r="F14" s="22" t="s">
        <v>16</v>
      </c>
      <c r="G14" s="27">
        <v>29</v>
      </c>
      <c r="H14" s="2" t="s">
        <v>6</v>
      </c>
      <c r="I14" s="1" t="s">
        <v>17</v>
      </c>
      <c r="J14" s="3">
        <v>43</v>
      </c>
      <c r="K14" s="6" t="s">
        <v>8</v>
      </c>
      <c r="L14" s="1" t="s">
        <v>13</v>
      </c>
      <c r="M14" s="3">
        <v>54</v>
      </c>
      <c r="N14" s="1" t="s">
        <v>132</v>
      </c>
      <c r="O14" t="s">
        <v>116</v>
      </c>
      <c r="R14">
        <f t="shared" si="0"/>
        <v>4644</v>
      </c>
      <c r="S14">
        <f t="shared" si="1"/>
        <v>10270</v>
      </c>
      <c r="T14">
        <f t="shared" si="2"/>
        <v>4668</v>
      </c>
      <c r="U14">
        <f t="shared" si="3"/>
        <v>5480</v>
      </c>
    </row>
    <row r="15" spans="1:21" x14ac:dyDescent="0.25">
      <c r="A15" s="44" t="s">
        <v>68</v>
      </c>
      <c r="B15" s="44" t="s">
        <v>31</v>
      </c>
      <c r="C15" s="44" t="s">
        <v>68</v>
      </c>
      <c r="D15" s="3" t="s">
        <v>96</v>
      </c>
      <c r="E15" s="22" t="s">
        <v>0</v>
      </c>
      <c r="F15" s="22" t="s">
        <v>32</v>
      </c>
      <c r="G15" s="27">
        <v>37</v>
      </c>
      <c r="H15" s="2" t="s">
        <v>8</v>
      </c>
      <c r="I15" s="1" t="s">
        <v>17</v>
      </c>
      <c r="J15" s="3">
        <v>22</v>
      </c>
      <c r="K15" s="6" t="s">
        <v>15</v>
      </c>
      <c r="L15" s="1" t="s">
        <v>2</v>
      </c>
      <c r="M15" s="3">
        <v>49</v>
      </c>
      <c r="O15" t="s">
        <v>116</v>
      </c>
      <c r="R15">
        <f t="shared" si="0"/>
        <v>2156</v>
      </c>
      <c r="S15">
        <f t="shared" si="1"/>
        <v>7410</v>
      </c>
      <c r="T15">
        <f t="shared" si="2"/>
        <v>2814</v>
      </c>
      <c r="U15">
        <f t="shared" si="3"/>
        <v>4146</v>
      </c>
    </row>
    <row r="16" spans="1:21" x14ac:dyDescent="0.25">
      <c r="A16" s="44" t="s">
        <v>69</v>
      </c>
      <c r="B16" s="44" t="s">
        <v>34</v>
      </c>
      <c r="C16" s="44" t="s">
        <v>69</v>
      </c>
      <c r="D16" s="3" t="s">
        <v>97</v>
      </c>
      <c r="E16" s="22" t="s">
        <v>0</v>
      </c>
      <c r="F16" s="22" t="s">
        <v>14</v>
      </c>
      <c r="G16" s="49">
        <v>36</v>
      </c>
      <c r="H16" s="18" t="s">
        <v>15</v>
      </c>
      <c r="I16" s="22" t="s">
        <v>10</v>
      </c>
      <c r="J16" s="20">
        <v>30</v>
      </c>
      <c r="K16" s="21" t="s">
        <v>8</v>
      </c>
      <c r="L16" s="22" t="s">
        <v>2</v>
      </c>
      <c r="M16" s="20">
        <v>40</v>
      </c>
      <c r="O16" t="s">
        <v>116</v>
      </c>
      <c r="R16">
        <f t="shared" si="0"/>
        <v>2400</v>
      </c>
      <c r="S16">
        <f t="shared" si="1"/>
        <v>7440</v>
      </c>
      <c r="T16">
        <f t="shared" si="2"/>
        <v>2430</v>
      </c>
      <c r="U16">
        <f t="shared" si="3"/>
        <v>3690</v>
      </c>
    </row>
    <row r="17" spans="1:21" x14ac:dyDescent="0.25">
      <c r="A17" s="39" t="s">
        <v>70</v>
      </c>
      <c r="B17" s="39" t="s">
        <v>35</v>
      </c>
      <c r="C17" s="44" t="s">
        <v>70</v>
      </c>
      <c r="D17" s="45" t="s">
        <v>80</v>
      </c>
      <c r="E17" s="40" t="s">
        <v>0</v>
      </c>
      <c r="F17" s="40" t="s">
        <v>32</v>
      </c>
      <c r="G17" s="41">
        <v>18</v>
      </c>
      <c r="H17" s="46" t="s">
        <v>15</v>
      </c>
      <c r="I17" s="40" t="s">
        <v>10</v>
      </c>
      <c r="J17" s="45">
        <v>28</v>
      </c>
      <c r="K17" s="48" t="s">
        <v>8</v>
      </c>
      <c r="L17" s="40" t="s">
        <v>2</v>
      </c>
      <c r="M17" s="45">
        <v>39</v>
      </c>
      <c r="N17" s="1" t="s">
        <v>150</v>
      </c>
      <c r="O17" t="s">
        <v>116</v>
      </c>
      <c r="R17">
        <f t="shared" si="0"/>
        <v>2184</v>
      </c>
      <c r="S17">
        <f t="shared" si="1"/>
        <v>4596</v>
      </c>
      <c r="T17">
        <f t="shared" si="2"/>
        <v>2238</v>
      </c>
      <c r="U17">
        <f t="shared" si="3"/>
        <v>2544</v>
      </c>
    </row>
    <row r="18" spans="1:21" x14ac:dyDescent="0.25">
      <c r="A18" s="44" t="s">
        <v>71</v>
      </c>
      <c r="B18" s="44" t="s">
        <v>36</v>
      </c>
      <c r="C18" s="44" t="s">
        <v>71</v>
      </c>
      <c r="D18" s="3" t="s">
        <v>98</v>
      </c>
      <c r="E18" s="1" t="s">
        <v>0</v>
      </c>
      <c r="F18" s="1" t="s">
        <v>1</v>
      </c>
      <c r="G18" s="14">
        <v>18</v>
      </c>
      <c r="H18" s="2" t="s">
        <v>8</v>
      </c>
      <c r="I18" s="1" t="s">
        <v>10</v>
      </c>
      <c r="J18" s="3">
        <v>39</v>
      </c>
      <c r="K18" s="6" t="s">
        <v>12</v>
      </c>
      <c r="L18" s="1" t="s">
        <v>2</v>
      </c>
      <c r="M18" s="3">
        <v>32</v>
      </c>
      <c r="N18" s="1" t="s">
        <v>151</v>
      </c>
      <c r="O18" t="s">
        <v>116</v>
      </c>
      <c r="R18">
        <f t="shared" si="0"/>
        <v>2496</v>
      </c>
      <c r="S18">
        <f t="shared" si="1"/>
        <v>5052</v>
      </c>
      <c r="T18">
        <f t="shared" si="2"/>
        <v>2474</v>
      </c>
      <c r="U18">
        <f t="shared" si="3"/>
        <v>2780</v>
      </c>
    </row>
    <row r="19" spans="1:21" x14ac:dyDescent="0.25">
      <c r="A19" s="44" t="s">
        <v>72</v>
      </c>
      <c r="B19" s="44" t="s">
        <v>37</v>
      </c>
      <c r="C19" s="44" t="s">
        <v>72</v>
      </c>
      <c r="D19" s="3" t="s">
        <v>99</v>
      </c>
      <c r="E19" s="1" t="s">
        <v>0</v>
      </c>
      <c r="F19" s="1" t="s">
        <v>2</v>
      </c>
      <c r="G19" s="14">
        <v>19</v>
      </c>
      <c r="H19" s="2" t="s">
        <v>15</v>
      </c>
      <c r="I19" s="1" t="s">
        <v>17</v>
      </c>
      <c r="J19" s="3">
        <v>20</v>
      </c>
      <c r="K19" s="6" t="s">
        <v>8</v>
      </c>
      <c r="L19" s="1" t="s">
        <v>13</v>
      </c>
      <c r="M19" s="3">
        <v>23</v>
      </c>
      <c r="O19" t="s">
        <v>116</v>
      </c>
      <c r="R19">
        <f t="shared" si="0"/>
        <v>920</v>
      </c>
      <c r="S19">
        <f t="shared" si="1"/>
        <v>2554</v>
      </c>
      <c r="T19">
        <f t="shared" si="2"/>
        <v>886</v>
      </c>
      <c r="U19">
        <f t="shared" si="3"/>
        <v>1228</v>
      </c>
    </row>
    <row r="20" spans="1:21" x14ac:dyDescent="0.25">
      <c r="A20" s="44" t="s">
        <v>73</v>
      </c>
      <c r="B20" s="44" t="s">
        <v>38</v>
      </c>
      <c r="C20" s="44" t="s">
        <v>73</v>
      </c>
      <c r="D20" s="3" t="s">
        <v>100</v>
      </c>
      <c r="E20" s="1" t="s">
        <v>0</v>
      </c>
      <c r="F20" s="1" t="s">
        <v>16</v>
      </c>
      <c r="G20" s="14">
        <v>31</v>
      </c>
      <c r="H20" s="2" t="s">
        <v>6</v>
      </c>
      <c r="I20" s="1" t="s">
        <v>10</v>
      </c>
      <c r="J20" s="3">
        <v>10</v>
      </c>
      <c r="K20" s="6" t="s">
        <v>8</v>
      </c>
      <c r="L20" s="1" t="s">
        <v>2</v>
      </c>
      <c r="M20" s="3">
        <v>26</v>
      </c>
      <c r="O20" t="s">
        <v>116</v>
      </c>
      <c r="R20">
        <f t="shared" si="0"/>
        <v>520</v>
      </c>
      <c r="S20">
        <f t="shared" si="1"/>
        <v>2752</v>
      </c>
      <c r="T20">
        <f t="shared" si="2"/>
        <v>740</v>
      </c>
      <c r="U20">
        <f t="shared" si="3"/>
        <v>1670</v>
      </c>
    </row>
    <row r="21" spans="1:21" x14ac:dyDescent="0.25">
      <c r="A21" s="44" t="s">
        <v>74</v>
      </c>
      <c r="B21" s="44" t="s">
        <v>39</v>
      </c>
      <c r="C21" s="44" t="s">
        <v>74</v>
      </c>
      <c r="D21" s="3" t="s">
        <v>101</v>
      </c>
      <c r="E21" s="1" t="s">
        <v>0</v>
      </c>
      <c r="F21" s="1" t="s">
        <v>13</v>
      </c>
      <c r="G21" s="14">
        <v>48</v>
      </c>
      <c r="H21" s="2" t="s">
        <v>15</v>
      </c>
      <c r="I21" s="1" t="s">
        <v>10</v>
      </c>
      <c r="J21" s="3">
        <v>20</v>
      </c>
      <c r="K21" s="6" t="s">
        <v>8</v>
      </c>
      <c r="L21" s="1" t="s">
        <v>2</v>
      </c>
      <c r="M21" s="3">
        <v>36</v>
      </c>
      <c r="O21" t="s">
        <v>116</v>
      </c>
      <c r="R21">
        <f t="shared" si="0"/>
        <v>1440</v>
      </c>
      <c r="S21">
        <f t="shared" si="1"/>
        <v>6816</v>
      </c>
      <c r="T21">
        <f t="shared" si="2"/>
        <v>1640</v>
      </c>
      <c r="U21">
        <f t="shared" si="3"/>
        <v>3896</v>
      </c>
    </row>
    <row r="22" spans="1:21" x14ac:dyDescent="0.25">
      <c r="A22" s="44"/>
      <c r="B22" s="44"/>
      <c r="C22" s="44"/>
      <c r="D22" s="3"/>
      <c r="H22" s="2"/>
      <c r="I22" s="1"/>
      <c r="J22" s="3"/>
      <c r="K22" s="6"/>
      <c r="M22" s="3"/>
    </row>
    <row r="23" spans="1:21" x14ac:dyDescent="0.25">
      <c r="A23" s="44" t="s">
        <v>33</v>
      </c>
      <c r="B23" s="44"/>
      <c r="C23" s="44"/>
      <c r="D23" s="3"/>
      <c r="G23" s="14">
        <f>SUM(G7:G16)</f>
        <v>415</v>
      </c>
      <c r="H23" s="2"/>
      <c r="J23" s="3">
        <f>SUM(J7:J16)</f>
        <v>195</v>
      </c>
      <c r="K23" s="6"/>
      <c r="M23" s="3">
        <f>SUM(M7:M16)</f>
        <v>302</v>
      </c>
    </row>
    <row r="24" spans="1:21" x14ac:dyDescent="0.25">
      <c r="A24" s="44"/>
      <c r="B24" s="44"/>
      <c r="C24" s="44"/>
      <c r="D24" s="3"/>
      <c r="G24" s="14">
        <f>SUM(G2:G16)</f>
        <v>570</v>
      </c>
      <c r="H24" s="2"/>
      <c r="J24" s="3">
        <f>SUM(J2:J16)</f>
        <v>268</v>
      </c>
      <c r="K24" s="6"/>
      <c r="M24" s="3">
        <f>SUM(M2:M16)</f>
        <v>403</v>
      </c>
    </row>
    <row r="25" spans="1:21" x14ac:dyDescent="0.25">
      <c r="D25" s="3"/>
      <c r="H25" s="2" t="s">
        <v>8</v>
      </c>
      <c r="I25" t="s">
        <v>17</v>
      </c>
      <c r="J25" s="3"/>
      <c r="K25" s="6"/>
      <c r="M25" s="3"/>
    </row>
    <row r="26" spans="1:21" x14ac:dyDescent="0.25">
      <c r="D26" s="3"/>
      <c r="H26" s="2" t="s">
        <v>15</v>
      </c>
      <c r="I26" t="s">
        <v>10</v>
      </c>
      <c r="J26" s="3"/>
      <c r="K26" s="6"/>
      <c r="M26" s="3"/>
      <c r="R26" t="s">
        <v>152</v>
      </c>
      <c r="S26" t="s">
        <v>156</v>
      </c>
      <c r="T26" t="s">
        <v>158</v>
      </c>
      <c r="U26" t="s">
        <v>157</v>
      </c>
    </row>
    <row r="27" spans="1:21" x14ac:dyDescent="0.25">
      <c r="D27" s="3"/>
      <c r="H27" s="2" t="s">
        <v>8</v>
      </c>
      <c r="I27" t="s">
        <v>10</v>
      </c>
      <c r="J27" s="3"/>
      <c r="K27" s="6"/>
      <c r="M27" s="3"/>
      <c r="Q27" t="s">
        <v>154</v>
      </c>
      <c r="R27">
        <f>R7+SUM(R10:R16)</f>
        <v>13926</v>
      </c>
      <c r="S27">
        <f>S7+SUM(S10:S16)</f>
        <v>47090</v>
      </c>
      <c r="T27">
        <f>T7+SUM(T10:T16)</f>
        <v>16086</v>
      </c>
      <c r="U27">
        <f>U7+SUM(U10:U16)</f>
        <v>29682</v>
      </c>
    </row>
    <row r="28" spans="1:21" x14ac:dyDescent="0.25">
      <c r="D28" s="3"/>
      <c r="H28" s="2"/>
      <c r="J28" s="3"/>
      <c r="K28" s="6"/>
      <c r="M28" s="3"/>
      <c r="Q28" t="s">
        <v>155</v>
      </c>
      <c r="R28">
        <f>SUM(R17:R21)</f>
        <v>7560</v>
      </c>
      <c r="S28">
        <f>SUM(S17:S21)</f>
        <v>21770</v>
      </c>
      <c r="T28">
        <f>SUM(T17:T21)</f>
        <v>7978</v>
      </c>
      <c r="U28">
        <f>SUM(U17:U21)</f>
        <v>12118</v>
      </c>
    </row>
    <row r="29" spans="1:21" x14ac:dyDescent="0.25">
      <c r="D29" s="3"/>
      <c r="H29" s="2"/>
      <c r="J29" s="3"/>
      <c r="K29" s="6"/>
      <c r="M29" s="3"/>
    </row>
    <row r="30" spans="1:21" x14ac:dyDescent="0.25">
      <c r="D30" s="3"/>
      <c r="H30" s="2"/>
      <c r="J30" s="3"/>
      <c r="K30" s="6"/>
      <c r="M30" s="3"/>
    </row>
    <row r="31" spans="1:21" x14ac:dyDescent="0.25">
      <c r="D31" s="3"/>
      <c r="H31" s="2"/>
      <c r="J31" s="3"/>
    </row>
    <row r="32" spans="1:21" x14ac:dyDescent="0.25">
      <c r="D32" s="3"/>
      <c r="H32" s="2"/>
      <c r="J32" s="3"/>
    </row>
    <row r="33" spans="4:10" x14ac:dyDescent="0.25">
      <c r="D33" s="3"/>
      <c r="H33" s="2"/>
      <c r="J33" s="3"/>
    </row>
  </sheetData>
  <mergeCells count="3">
    <mergeCell ref="E1:G1"/>
    <mergeCell ref="H1:J1"/>
    <mergeCell ref="K1:M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E12D-C9CD-4DEC-A7DD-D60B42882618}">
  <dimension ref="A1:I12"/>
  <sheetViews>
    <sheetView workbookViewId="0">
      <selection activeCell="G22" sqref="G22"/>
    </sheetView>
  </sheetViews>
  <sheetFormatPr defaultColWidth="29.85546875" defaultRowHeight="15" x14ac:dyDescent="0.25"/>
  <cols>
    <col min="1" max="1" width="19.85546875" style="50" customWidth="1"/>
    <col min="2" max="4" width="17.28515625" style="50" customWidth="1"/>
    <col min="5" max="5" width="18.5703125" style="50" customWidth="1"/>
    <col min="6" max="16384" width="29.85546875" style="50"/>
  </cols>
  <sheetData>
    <row r="1" spans="1:9" ht="15.75" thickBot="1" x14ac:dyDescent="0.3">
      <c r="A1" s="59" t="s">
        <v>112</v>
      </c>
      <c r="B1" s="60" t="s">
        <v>113</v>
      </c>
      <c r="C1" s="60" t="s">
        <v>78</v>
      </c>
      <c r="D1" s="69" t="s">
        <v>77</v>
      </c>
      <c r="E1" s="61"/>
      <c r="F1" s="61"/>
      <c r="G1" s="62"/>
    </row>
    <row r="2" spans="1:9" x14ac:dyDescent="0.25">
      <c r="A2" s="63"/>
      <c r="B2" s="50" t="s">
        <v>40</v>
      </c>
      <c r="C2" s="50" t="s">
        <v>40</v>
      </c>
      <c r="D2" s="64" t="s">
        <v>49</v>
      </c>
      <c r="G2" s="64"/>
      <c r="H2" s="50" t="s">
        <v>118</v>
      </c>
    </row>
    <row r="3" spans="1:9" x14ac:dyDescent="0.25">
      <c r="A3" s="63"/>
      <c r="B3" s="50" t="s">
        <v>41</v>
      </c>
      <c r="C3" s="50" t="s">
        <v>41</v>
      </c>
      <c r="D3" s="64" t="s">
        <v>50</v>
      </c>
      <c r="G3" s="64"/>
      <c r="H3" s="50" t="s">
        <v>118</v>
      </c>
    </row>
    <row r="4" spans="1:9" x14ac:dyDescent="0.25">
      <c r="A4" s="63"/>
      <c r="B4" s="50" t="s">
        <v>42</v>
      </c>
      <c r="C4" s="50" t="s">
        <v>42</v>
      </c>
      <c r="D4" s="64" t="s">
        <v>51</v>
      </c>
      <c r="G4" s="64"/>
      <c r="H4" s="50" t="s">
        <v>118</v>
      </c>
    </row>
    <row r="5" spans="1:9" x14ac:dyDescent="0.25">
      <c r="A5" s="63"/>
      <c r="B5" s="50" t="s">
        <v>43</v>
      </c>
      <c r="C5" s="50" t="s">
        <v>43</v>
      </c>
      <c r="D5" s="64" t="s">
        <v>52</v>
      </c>
      <c r="G5" s="64"/>
      <c r="H5" s="50" t="s">
        <v>118</v>
      </c>
    </row>
    <row r="6" spans="1:9" x14ac:dyDescent="0.25">
      <c r="A6" s="63"/>
      <c r="B6" s="50" t="s">
        <v>44</v>
      </c>
      <c r="C6" s="50" t="s">
        <v>44</v>
      </c>
      <c r="D6" s="64" t="s">
        <v>53</v>
      </c>
      <c r="G6" s="64"/>
      <c r="H6" s="50" t="s">
        <v>118</v>
      </c>
    </row>
    <row r="7" spans="1:9" x14ac:dyDescent="0.25">
      <c r="A7" s="63"/>
      <c r="B7" s="50" t="s">
        <v>45</v>
      </c>
      <c r="C7" s="50" t="s">
        <v>45</v>
      </c>
      <c r="D7" s="64" t="s">
        <v>54</v>
      </c>
      <c r="G7" s="64"/>
      <c r="H7" s="50" t="s">
        <v>118</v>
      </c>
    </row>
    <row r="8" spans="1:9" x14ac:dyDescent="0.25">
      <c r="A8" s="89"/>
      <c r="B8" s="90" t="s">
        <v>46</v>
      </c>
      <c r="C8" s="90" t="s">
        <v>46</v>
      </c>
      <c r="D8" s="91" t="s">
        <v>55</v>
      </c>
      <c r="E8" s="90"/>
      <c r="F8" s="90"/>
      <c r="G8" s="91"/>
      <c r="H8" s="90" t="s">
        <v>118</v>
      </c>
      <c r="I8" s="90" t="s">
        <v>126</v>
      </c>
    </row>
    <row r="9" spans="1:9" x14ac:dyDescent="0.25">
      <c r="A9" s="63"/>
      <c r="B9" s="50" t="s">
        <v>47</v>
      </c>
      <c r="C9" s="50" t="s">
        <v>47</v>
      </c>
      <c r="D9" s="64" t="s">
        <v>56</v>
      </c>
      <c r="G9" s="64"/>
      <c r="H9" s="50" t="s">
        <v>118</v>
      </c>
    </row>
    <row r="10" spans="1:9" ht="15.75" thickBot="1" x14ac:dyDescent="0.3">
      <c r="A10" s="63"/>
      <c r="B10" s="50" t="s">
        <v>48</v>
      </c>
      <c r="C10" s="50" t="s">
        <v>48</v>
      </c>
      <c r="D10" s="64" t="s">
        <v>57</v>
      </c>
      <c r="G10" s="64"/>
      <c r="H10" s="50" t="s">
        <v>118</v>
      </c>
    </row>
    <row r="11" spans="1:9" ht="15.75" thickBot="1" x14ac:dyDescent="0.3">
      <c r="A11" s="122" t="s">
        <v>75</v>
      </c>
      <c r="B11" s="123" t="s">
        <v>58</v>
      </c>
      <c r="C11" s="123" t="s">
        <v>75</v>
      </c>
      <c r="D11" s="124" t="s">
        <v>79</v>
      </c>
      <c r="E11" s="123"/>
      <c r="F11" s="123"/>
      <c r="G11" s="124"/>
      <c r="H11" s="90"/>
      <c r="I11" s="90" t="s">
        <v>147</v>
      </c>
    </row>
    <row r="12" spans="1:9" ht="15.75" thickBot="1" x14ac:dyDescent="0.3">
      <c r="A12" s="65" t="s">
        <v>76</v>
      </c>
      <c r="B12" s="66" t="s">
        <v>59</v>
      </c>
      <c r="C12" s="66" t="s">
        <v>76</v>
      </c>
      <c r="D12" s="67" t="s">
        <v>80</v>
      </c>
      <c r="E12" s="66"/>
      <c r="F12" s="66"/>
      <c r="G12" s="6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1B0A-8ACD-468E-8C67-02F9624BD3CF}">
  <dimension ref="A1:Q12"/>
  <sheetViews>
    <sheetView topLeftCell="K1" zoomScale="130" zoomScaleNormal="130" workbookViewId="0">
      <selection activeCell="P25" sqref="P25"/>
    </sheetView>
  </sheetViews>
  <sheetFormatPr defaultColWidth="29.85546875" defaultRowHeight="15" x14ac:dyDescent="0.25"/>
  <cols>
    <col min="1" max="1" width="18.85546875" style="50" customWidth="1"/>
    <col min="2" max="2" width="16.85546875" style="50" customWidth="1"/>
    <col min="3" max="3" width="14.42578125" style="50" customWidth="1"/>
    <col min="4" max="4" width="23.140625" style="50" customWidth="1"/>
    <col min="5" max="13" width="6.42578125" style="50" customWidth="1"/>
    <col min="14" max="14" width="24.5703125" style="50" customWidth="1"/>
    <col min="15" max="15" width="16.42578125" style="50" customWidth="1"/>
    <col min="16" max="16384" width="29.85546875" style="50"/>
  </cols>
  <sheetData>
    <row r="1" spans="1:17" ht="15.75" thickBot="1" x14ac:dyDescent="0.3">
      <c r="A1" s="59" t="s">
        <v>112</v>
      </c>
      <c r="B1" s="60" t="s">
        <v>113</v>
      </c>
      <c r="C1" s="60" t="s">
        <v>78</v>
      </c>
      <c r="D1" s="60" t="s">
        <v>77</v>
      </c>
      <c r="E1" s="125" t="s">
        <v>4</v>
      </c>
      <c r="F1" s="125"/>
      <c r="G1" s="125"/>
      <c r="H1" s="125" t="s">
        <v>5</v>
      </c>
      <c r="I1" s="125"/>
      <c r="J1" s="125"/>
      <c r="K1" s="125" t="s">
        <v>11</v>
      </c>
      <c r="L1" s="125"/>
      <c r="M1" s="125"/>
      <c r="N1" s="50" t="s">
        <v>144</v>
      </c>
      <c r="O1" s="50" t="s">
        <v>145</v>
      </c>
    </row>
    <row r="2" spans="1:17" x14ac:dyDescent="0.25">
      <c r="A2" s="63" t="s">
        <v>106</v>
      </c>
      <c r="B2" s="50" t="s">
        <v>109</v>
      </c>
      <c r="C2" s="50" t="s">
        <v>106</v>
      </c>
      <c r="D2" s="64" t="s">
        <v>80</v>
      </c>
      <c r="E2" s="110" t="s">
        <v>137</v>
      </c>
      <c r="F2" s="110" t="s">
        <v>139</v>
      </c>
      <c r="G2" s="111">
        <v>8</v>
      </c>
      <c r="H2" s="112" t="s">
        <v>140</v>
      </c>
      <c r="I2" s="113" t="s">
        <v>141</v>
      </c>
      <c r="J2" s="114">
        <v>3</v>
      </c>
      <c r="K2" s="115" t="s">
        <v>6</v>
      </c>
      <c r="L2" s="110" t="s">
        <v>14</v>
      </c>
      <c r="M2" s="114">
        <v>0</v>
      </c>
      <c r="N2">
        <v>231</v>
      </c>
      <c r="O2">
        <v>231</v>
      </c>
    </row>
    <row r="3" spans="1:17" x14ac:dyDescent="0.25">
      <c r="A3" s="63" t="s">
        <v>107</v>
      </c>
      <c r="B3" s="50" t="s">
        <v>110</v>
      </c>
      <c r="C3" s="50" t="s">
        <v>107</v>
      </c>
      <c r="D3" s="64" t="s">
        <v>98</v>
      </c>
      <c r="E3" s="110" t="s">
        <v>138</v>
      </c>
      <c r="F3" s="110" t="s">
        <v>139</v>
      </c>
      <c r="G3" s="111">
        <v>12</v>
      </c>
      <c r="H3" s="112" t="s">
        <v>140</v>
      </c>
      <c r="I3" s="113" t="s">
        <v>141</v>
      </c>
      <c r="J3" s="114">
        <v>10</v>
      </c>
      <c r="K3" s="115" t="s">
        <v>6</v>
      </c>
      <c r="L3" s="110" t="s">
        <v>142</v>
      </c>
      <c r="M3" s="114">
        <v>23</v>
      </c>
      <c r="N3">
        <v>112</v>
      </c>
      <c r="O3">
        <v>232</v>
      </c>
    </row>
    <row r="4" spans="1:17" x14ac:dyDescent="0.25">
      <c r="A4" s="63" t="s">
        <v>108</v>
      </c>
      <c r="B4" s="50" t="s">
        <v>111</v>
      </c>
      <c r="C4" s="50" t="s">
        <v>108</v>
      </c>
      <c r="D4" s="64" t="s">
        <v>99</v>
      </c>
      <c r="E4" s="110" t="s">
        <v>137</v>
      </c>
      <c r="F4" s="110" t="s">
        <v>32</v>
      </c>
      <c r="G4" s="111">
        <v>20</v>
      </c>
      <c r="H4" s="112" t="s">
        <v>6</v>
      </c>
      <c r="I4" s="113" t="s">
        <v>9</v>
      </c>
      <c r="J4" s="114">
        <v>9</v>
      </c>
      <c r="K4" s="115" t="s">
        <v>140</v>
      </c>
      <c r="L4" s="110" t="s">
        <v>143</v>
      </c>
      <c r="M4" s="114">
        <v>25</v>
      </c>
      <c r="N4">
        <v>100</v>
      </c>
      <c r="O4">
        <v>230</v>
      </c>
    </row>
    <row r="5" spans="1:17" x14ac:dyDescent="0.25">
      <c r="A5" s="63" t="s">
        <v>133</v>
      </c>
      <c r="B5" s="50" t="s">
        <v>134</v>
      </c>
      <c r="C5" s="50" t="s">
        <v>133</v>
      </c>
      <c r="D5" s="64" t="s">
        <v>79</v>
      </c>
      <c r="E5" s="110" t="s">
        <v>137</v>
      </c>
      <c r="F5" s="110" t="s">
        <v>139</v>
      </c>
      <c r="G5" s="111">
        <v>9</v>
      </c>
      <c r="H5" s="112" t="s">
        <v>6</v>
      </c>
      <c r="I5" s="113" t="s">
        <v>141</v>
      </c>
      <c r="J5" s="114">
        <v>11</v>
      </c>
      <c r="K5" s="115" t="s">
        <v>140</v>
      </c>
      <c r="L5" s="110" t="s">
        <v>143</v>
      </c>
      <c r="M5" s="114">
        <v>38</v>
      </c>
      <c r="N5">
        <v>80</v>
      </c>
      <c r="O5">
        <v>90</v>
      </c>
      <c r="P5">
        <f>2*J5*M5</f>
        <v>836</v>
      </c>
      <c r="Q5">
        <f>2*(G5*J5+G5*M5+J5*M5)</f>
        <v>1718</v>
      </c>
    </row>
    <row r="6" spans="1:17" ht="15.75" thickBot="1" x14ac:dyDescent="0.3">
      <c r="A6" s="63" t="s">
        <v>135</v>
      </c>
      <c r="B6" s="50" t="s">
        <v>136</v>
      </c>
      <c r="C6" s="50" t="s">
        <v>135</v>
      </c>
      <c r="D6" s="64" t="s">
        <v>89</v>
      </c>
      <c r="E6" s="116" t="s">
        <v>137</v>
      </c>
      <c r="F6" s="116" t="s">
        <v>32</v>
      </c>
      <c r="G6" s="117">
        <v>18</v>
      </c>
      <c r="H6" s="118" t="s">
        <v>140</v>
      </c>
      <c r="I6" s="119" t="s">
        <v>141</v>
      </c>
      <c r="J6" s="120">
        <v>17</v>
      </c>
      <c r="K6" s="121" t="s">
        <v>6</v>
      </c>
      <c r="L6" s="116" t="s">
        <v>143</v>
      </c>
      <c r="M6" s="120">
        <v>19</v>
      </c>
      <c r="N6">
        <v>35</v>
      </c>
      <c r="O6">
        <v>187</v>
      </c>
      <c r="P6">
        <f>2*J6*M6</f>
        <v>646</v>
      </c>
      <c r="Q6">
        <f>2*(G6*J6+G6*M6+J6*M6)</f>
        <v>1942</v>
      </c>
    </row>
    <row r="7" spans="1:17" x14ac:dyDescent="0.25">
      <c r="A7" s="63"/>
      <c r="D7" s="64" t="s">
        <v>90</v>
      </c>
      <c r="G7" s="64"/>
    </row>
    <row r="8" spans="1:17" x14ac:dyDescent="0.25">
      <c r="A8" s="63"/>
      <c r="D8" s="64" t="s">
        <v>91</v>
      </c>
      <c r="G8" s="64"/>
    </row>
    <row r="9" spans="1:17" x14ac:dyDescent="0.25">
      <c r="A9" s="63"/>
      <c r="D9" s="64" t="s">
        <v>92</v>
      </c>
      <c r="G9" s="64"/>
    </row>
    <row r="10" spans="1:17" ht="15.75" thickBot="1" x14ac:dyDescent="0.3">
      <c r="A10" s="63"/>
      <c r="D10" s="64"/>
      <c r="G10" s="64"/>
    </row>
    <row r="11" spans="1:17" ht="15.75" thickBot="1" x14ac:dyDescent="0.3">
      <c r="A11" s="68"/>
      <c r="B11" s="61"/>
      <c r="C11" s="61"/>
      <c r="D11" s="62"/>
      <c r="E11" s="61"/>
      <c r="F11" s="61"/>
      <c r="G11" s="62"/>
      <c r="N11" s="50" t="s">
        <v>146</v>
      </c>
    </row>
    <row r="12" spans="1:17" ht="15.75" thickBot="1" x14ac:dyDescent="0.3">
      <c r="A12" s="65"/>
      <c r="B12" s="66"/>
      <c r="C12" s="66"/>
      <c r="D12" s="67"/>
      <c r="E12" s="66"/>
      <c r="F12" s="66"/>
      <c r="G12" s="67"/>
    </row>
  </sheetData>
  <mergeCells count="3">
    <mergeCell ref="E1:G1"/>
    <mergeCell ref="H1:J1"/>
    <mergeCell ref="K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48F4-7931-4929-AE47-4DEF71FFC4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B24D-05CA-4D65-9A42-9A76302C7C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Slayer</vt:lpstr>
      <vt:lpstr>Zeppelin</vt:lpstr>
      <vt:lpstr>Emperor</vt:lpstr>
      <vt:lpstr>Lemmy-Kaining</vt:lpstr>
      <vt:lpstr>Slayer-Kaining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Yun, Mengxi</dc:creator>
  <cp:lastModifiedBy>Tianhong Tang</cp:lastModifiedBy>
  <dcterms:created xsi:type="dcterms:W3CDTF">2023-11-30T18:19:53Z</dcterms:created>
  <dcterms:modified xsi:type="dcterms:W3CDTF">2026-05-07T16:50:23Z</dcterms:modified>
</cp:coreProperties>
</file>